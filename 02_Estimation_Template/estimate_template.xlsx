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5.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2.vml" ContentType="application/vnd.openxmlformats-officedocument.vmlDrawing"/>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設定" sheetId="2" state="visible" r:id="rId4"/>
    <sheet name="前提条件" sheetId="3" state="visible" r:id="rId5"/>
    <sheet name="見積サマリ" sheetId="4" state="visible" r:id="rId6"/>
    <sheet name="見積書" sheetId="5" state="visible" r:id="rId7"/>
    <sheet name="スケジュール" sheetId="6" state="visible" r:id="rId8"/>
    <sheet name="ヒアリングシート" sheetId="7" state="visible" r:id="rId9"/>
    <sheet name="非機能要件チェック" sheetId="8" state="visible" r:id="rId10"/>
  </sheets>
  <definedNames>
    <definedName function="false" hidden="false" localSheetId="3" name="_xlnm.Print_Area" vbProcedure="false">見積サマリ!$A$1:$D$31</definedName>
    <definedName function="false" hidden="false" localSheetId="4" name="_xlnm.Print_Area" vbProcedure="false">見積書!$A$1:$I$46</definedName>
    <definedName function="false" hidden="false" name="バッファ係数" vbProcedure="false">設定!$B$13</definedName>
    <definedName function="false" hidden="false" name="バッファ適用" vbProcedure="false">設定!$B$14</definedName>
    <definedName function="false" hidden="false" name="体制維持費率" vbProcedure="false">設定!$B$18</definedName>
    <definedName function="false" hidden="false" name="値引き" vbProcedure="false">設定!$B$17</definedName>
    <definedName function="false" hidden="false" name="単価表" vbProcedure="false">設定!$A$21:$F$30</definedName>
    <definedName function="false" hidden="false" name="営業日月" vbProcedure="false">設定!$B$16</definedName>
    <definedName function="false" hidden="false" name="役割一覧" vbProcedure="false">設定!$A$21:$A$30</definedName>
    <definedName function="false" hidden="false" name="税率" vbProcedure="false">設定!$B$15</definedName>
    <definedName function="false" hidden="false" name="管理費率" vbProcedure="false">設定!$B$12</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estimation-kit</author>
  </authors>
  <commentList>
    <comment ref="A7" authorId="0">
      <text>
        <r>
          <rPr>
            <sz val="10"/>
            <rFont val="游ゴシック体"/>
            <family val="2"/>
          </rPr>
          <t xml:space="preserve">✓＝金額に入れる／－＝金額から外す（プルダウン）。－にすると小計・</t>
        </r>
        <r>
          <rPr>
            <sz val="10"/>
            <rFont val="Arial"/>
            <family val="2"/>
          </rPr>
          <t xml:space="preserve">PM</t>
        </r>
        <r>
          <rPr>
            <sz val="10"/>
            <rFont val="游ゴシック体"/>
            <family val="2"/>
          </rPr>
          <t xml:space="preserve">費・税込合計・上部サマリ・スケジュールまで自動で再計算されます。</t>
        </r>
      </text>
    </comment>
    <comment ref="I7" authorId="0">
      <text>
        <r>
          <rPr>
            <sz val="10"/>
            <rFont val="游ゴシック体"/>
            <family val="2"/>
          </rPr>
          <t xml:space="preserve">金額</t>
        </r>
        <r>
          <rPr>
            <sz val="10"/>
            <rFont val="Arial"/>
            <family val="2"/>
          </rPr>
          <t xml:space="preserve">(</t>
        </r>
        <r>
          <rPr>
            <sz val="10"/>
            <rFont val="游ゴシック体"/>
            <family val="2"/>
          </rPr>
          <t xml:space="preserve">税抜</t>
        </r>
        <r>
          <rPr>
            <sz val="10"/>
            <rFont val="Arial"/>
            <family val="2"/>
          </rPr>
          <t xml:space="preserve">)</t>
        </r>
        <r>
          <rPr>
            <sz val="10"/>
            <rFont val="游ゴシック体"/>
            <family val="2"/>
          </rPr>
          <t xml:space="preserve">＝工数</t>
        </r>
        <r>
          <rPr>
            <sz val="10"/>
            <rFont val="Arial"/>
            <family val="2"/>
          </rPr>
          <t xml:space="preserve">×</t>
        </r>
        <r>
          <rPr>
            <sz val="10"/>
            <rFont val="游ゴシック体"/>
            <family val="2"/>
          </rPr>
          <t xml:space="preserve">担当の社外単価（お客様への請求ベース＝提示額のもと・</t>
        </r>
        <r>
          <rPr>
            <sz val="10"/>
            <rFont val="Arial"/>
            <family val="2"/>
          </rPr>
          <t xml:space="preserve">Rule 1</t>
        </r>
        <r>
          <rPr>
            <sz val="10"/>
            <rFont val="游ゴシック体"/>
            <family val="2"/>
          </rPr>
          <t xml:space="preserve">）。</t>
        </r>
      </text>
    </comment>
    <comment ref="J7" authorId="0">
      <text>
        <r>
          <rPr>
            <sz val="10"/>
            <rFont val="游ゴシック体"/>
            <family val="2"/>
          </rPr>
          <t xml:space="preserve">社内金額＝工数</t>
        </r>
        <r>
          <rPr>
            <sz val="10"/>
            <rFont val="Arial"/>
            <family val="2"/>
          </rPr>
          <t xml:space="preserve">×</t>
        </r>
        <r>
          <rPr>
            <sz val="10"/>
            <rFont val="游ゴシック体"/>
            <family val="2"/>
          </rPr>
          <t xml:space="preserve">担当の社内単価（原価・社内限り </t>
        </r>
        <r>
          <rPr>
            <sz val="10"/>
            <rFont val="Arial"/>
            <family val="2"/>
          </rPr>
          <t xml:space="preserve">Rule 10</t>
        </r>
        <r>
          <rPr>
            <sz val="10"/>
            <rFont val="游ゴシック体"/>
            <family val="2"/>
          </rPr>
          <t xml:space="preserve">）。この列は折りたたみグループ内。</t>
        </r>
      </text>
    </comment>
    <comment ref="L7" authorId="0">
      <text>
        <r>
          <rPr>
            <sz val="10"/>
            <rFont val="游ゴシック体"/>
            <family val="2"/>
          </rPr>
          <t xml:space="preserve">金額を動かすいちばん大事な列。</t>
        </r>
        <r>
          <rPr>
            <sz val="10"/>
            <rFont val="Arial"/>
            <family val="2"/>
          </rPr>
          <t xml:space="preserve">M=</t>
        </r>
        <r>
          <rPr>
            <sz val="10"/>
            <rFont val="游ゴシック体"/>
            <family val="2"/>
          </rPr>
          <t xml:space="preserve">必須／</t>
        </r>
        <r>
          <rPr>
            <sz val="10"/>
            <rFont val="Arial"/>
            <family val="2"/>
          </rPr>
          <t xml:space="preserve">W=</t>
        </r>
        <r>
          <rPr>
            <sz val="10"/>
            <rFont val="游ゴシック体"/>
            <family val="2"/>
          </rPr>
          <t xml:space="preserve">できれば（予算調整の余地）／</t>
        </r>
        <r>
          <rPr>
            <sz val="10"/>
            <rFont val="Arial"/>
            <family val="2"/>
          </rPr>
          <t xml:space="preserve">O=</t>
        </r>
        <r>
          <rPr>
            <sz val="10"/>
            <rFont val="游ゴシック体"/>
            <family val="2"/>
          </rPr>
          <t xml:space="preserve">対象外／★未確定</t>
        </r>
        <r>
          <rPr>
            <sz val="10"/>
            <rFont val="Arial"/>
            <family val="2"/>
          </rPr>
          <t xml:space="preserve">=0</t>
        </r>
        <r>
          <rPr>
            <sz val="10"/>
            <rFont val="游ゴシック体"/>
            <family val="2"/>
          </rPr>
          <t xml:space="preserve">計上で残す。予算相談ではまず </t>
        </r>
        <r>
          <rPr>
            <sz val="10"/>
            <rFont val="Arial"/>
            <family val="2"/>
          </rPr>
          <t xml:space="preserve">W </t>
        </r>
        <r>
          <rPr>
            <sz val="10"/>
            <rFont val="游ゴシック体"/>
            <family val="2"/>
          </rPr>
          <t xml:space="preserve">の行の計上を － に。</t>
        </r>
      </text>
    </comment>
  </commentList>
</comments>
</file>

<file path=xl/comments8.xml><?xml version="1.0" encoding="utf-8"?>
<comments xmlns="http://schemas.openxmlformats.org/spreadsheetml/2006/main" xmlns:xdr="http://schemas.openxmlformats.org/drawingml/2006/spreadsheetDrawing">
  <authors>
    <author>estimation-kit</author>
  </authors>
  <commentList>
    <comment ref="E3" authorId="0">
      <text>
        <r>
          <rPr>
            <sz val="10"/>
            <rFont val="游ゴシック体"/>
            <family val="2"/>
          </rPr>
          <t xml:space="preserve">対象＝見積明細に工数を積む（</t>
        </r>
        <r>
          <rPr>
            <sz val="10"/>
            <rFont val="Arial"/>
            <family val="2"/>
          </rPr>
          <t xml:space="preserve">F</t>
        </r>
        <r>
          <rPr>
            <sz val="10"/>
            <rFont val="游ゴシック体"/>
            <family val="2"/>
          </rPr>
          <t xml:space="preserve">列に項目名を書く）／対象外＝提出物の前提に明記（</t>
        </r>
        <r>
          <rPr>
            <sz val="10"/>
            <rFont val="Arial"/>
            <family val="2"/>
          </rPr>
          <t xml:space="preserve">Rule 3</t>
        </r>
        <r>
          <rPr>
            <sz val="10"/>
            <rFont val="游ゴシック体"/>
            <family val="2"/>
          </rPr>
          <t xml:space="preserve">）／要確認＝❓でお客様・社内に確認（</t>
        </r>
        <r>
          <rPr>
            <sz val="10"/>
            <rFont val="Arial"/>
            <family val="2"/>
          </rPr>
          <t xml:space="preserve">Rule 8</t>
        </r>
        <r>
          <rPr>
            <sz val="10"/>
            <rFont val="游ゴシック体"/>
            <family val="2"/>
          </rPr>
          <t xml:space="preserve">）</t>
        </r>
      </text>
    </comment>
  </commentList>
</comments>
</file>

<file path=xl/sharedStrings.xml><?xml version="1.0" encoding="utf-8"?>
<sst xmlns="http://schemas.openxmlformats.org/spreadsheetml/2006/main" count="938" uniqueCount="569">
  <si>
    <t xml:space="preserve">📖 この見積もりファイルの使い方</t>
  </si>
  <si>
    <r>
      <rPr>
        <sz val="9"/>
        <color rgb="FF6C7072"/>
        <rFont val="Noto Sans JP"/>
        <family val="0"/>
        <charset val="1"/>
      </rPr>
      <t xml:space="preserve">bravesoft </t>
    </r>
    <r>
      <rPr>
        <sz val="9"/>
        <color rgb="FF6C7072"/>
        <rFont val="游ゴシック体"/>
        <family val="2"/>
      </rPr>
      <t xml:space="preserve">標準見積もり — 誰でも </t>
    </r>
    <r>
      <rPr>
        <sz val="9"/>
        <color rgb="FF6C7072"/>
        <rFont val="Noto Sans JP"/>
        <family val="0"/>
        <charset val="1"/>
      </rPr>
      <t xml:space="preserve">3 </t>
    </r>
    <r>
      <rPr>
        <sz val="9"/>
        <color rgb="FF6C7072"/>
        <rFont val="游ゴシック体"/>
        <family val="2"/>
      </rPr>
      <t xml:space="preserve">ステップで金額を動かせます</t>
    </r>
  </si>
  <si>
    <r>
      <rPr>
        <b val="true"/>
        <sz val="11"/>
        <color rgb="FF0066FF"/>
        <rFont val="Noto Sans JP"/>
        <family val="0"/>
        <charset val="1"/>
      </rPr>
      <t xml:space="preserve">1️⃣ </t>
    </r>
    <r>
      <rPr>
        <b val="true"/>
        <sz val="11"/>
        <color rgb="FF0066FF"/>
        <rFont val="游ゴシック体"/>
        <family val="2"/>
      </rPr>
      <t xml:space="preserve">設定</t>
    </r>
  </si>
  <si>
    <t xml:space="preserve">「⚙ 設定」シートの青いセルを埋める（単価・管理費率・バッファ・税率・値引き）。ここを変えると全シートの金額が自動で変わります。</t>
  </si>
  <si>
    <r>
      <rPr>
        <b val="true"/>
        <sz val="11"/>
        <color rgb="FF0066FF"/>
        <rFont val="Noto Sans JP"/>
        <family val="0"/>
        <charset val="1"/>
      </rPr>
      <t xml:space="preserve">2️⃣ </t>
    </r>
    <r>
      <rPr>
        <b val="true"/>
        <sz val="11"/>
        <color rgb="FF0066FF"/>
        <rFont val="游ゴシック体"/>
        <family val="2"/>
      </rPr>
      <t xml:space="preserve">前提条件</t>
    </r>
  </si>
  <si>
    <t xml:space="preserve">「📋 前提条件」シートを埋める（見積根拠・対応範囲・対象外・契約形態・納品物）。金額の前提なので必須。顧客説明ではこのシートを先に提示します（独立シート）。</t>
  </si>
  <si>
    <r>
      <rPr>
        <b val="true"/>
        <sz val="11"/>
        <color rgb="FF0066FF"/>
        <rFont val="Noto Sans JP"/>
        <family val="0"/>
        <charset val="1"/>
      </rPr>
      <t xml:space="preserve">3️⃣ </t>
    </r>
    <r>
      <rPr>
        <b val="true"/>
        <sz val="11"/>
        <color rgb="FF0066FF"/>
        <rFont val="游ゴシック体"/>
        <family val="2"/>
      </rPr>
      <t xml:space="preserve">明細と計上✓</t>
    </r>
  </si>
  <si>
    <r>
      <rPr>
        <sz val="10"/>
        <color rgb="FF090A0A"/>
        <rFont val="游ゴシック体"/>
        <family val="2"/>
      </rPr>
      <t xml:space="preserve">「見積書」シートの見積明細で工数・担当・項目を調整。金額から外したい行は </t>
    </r>
    <r>
      <rPr>
        <sz val="10"/>
        <color rgb="FF090A0A"/>
        <rFont val="Noto Sans JP"/>
        <family val="0"/>
        <charset val="1"/>
      </rPr>
      <t xml:space="preserve">A </t>
    </r>
    <r>
      <rPr>
        <sz val="10"/>
        <color rgb="FF090A0A"/>
        <rFont val="游ゴシック体"/>
        <family val="2"/>
      </rPr>
      <t xml:space="preserve">列「計上」を ✓ → － に（プルダウン）。その行はグレーになり、隣の「見積サマリ」・</t>
    </r>
    <r>
      <rPr>
        <sz val="10"/>
        <color rgb="FF090A0A"/>
        <rFont val="Noto Sans JP"/>
        <family val="0"/>
        <charset val="1"/>
      </rPr>
      <t xml:space="preserve">PM</t>
    </r>
    <r>
      <rPr>
        <sz val="10"/>
        <color rgb="FF090A0A"/>
        <rFont val="游ゴシック体"/>
        <family val="2"/>
      </rPr>
      <t xml:space="preserve">費・税込合計・スケジュールまで全部が自動で再計算されます。行を増やすときは既存の明細行をコピーして途中に挿入（一番下の行の下に足さない）。</t>
    </r>
  </si>
  <si>
    <t xml:space="preserve">⏭ 全体の流れ</t>
  </si>
  <si>
    <r>
      <rPr>
        <sz val="10"/>
        <color rgb="FF090A0A"/>
        <rFont val="游ゴシック体"/>
        <family val="2"/>
      </rPr>
      <t xml:space="preserve">① ⚙ 設定を埋める → ② 📋 前提条件・対象外を埋める → ③ 「見積書」で明細を調整（計上 ✓</t>
    </r>
    <r>
      <rPr>
        <sz val="10"/>
        <color rgb="FF090A0A"/>
        <rFont val="Noto Sans JP"/>
        <family val="0"/>
        <charset val="1"/>
      </rPr>
      <t xml:space="preserve">/</t>
    </r>
    <r>
      <rPr>
        <sz val="10"/>
        <color rgb="FF090A0A"/>
        <rFont val="游ゴシック体"/>
        <family val="2"/>
      </rPr>
      <t xml:space="preserve">－ でスコープ・金額を調整）→ ④ 「見積サマリ」で金額を確認 → ④ 🛡 非機能要件チェックと 🔍 抜け漏れチェックを全部 ✅ に → ⑤ 👤 集計・採算で利益率を確認 → ⑥ 🔔 上長・</t>
    </r>
    <r>
      <rPr>
        <sz val="10"/>
        <color rgb="FF090A0A"/>
        <rFont val="Noto Sans JP"/>
        <family val="0"/>
        <charset val="1"/>
      </rPr>
      <t xml:space="preserve">PM </t>
    </r>
    <r>
      <rPr>
        <sz val="10"/>
        <color rgb="FF090A0A"/>
        <rFont val="游ゴシック体"/>
        <family val="2"/>
      </rPr>
      <t xml:space="preserve">の人間レビュー（</t>
    </r>
    <r>
      <rPr>
        <sz val="10"/>
        <color rgb="FF090A0A"/>
        <rFont val="Noto Sans JP"/>
        <family val="0"/>
        <charset val="1"/>
      </rPr>
      <t xml:space="preserve">Rule 13</t>
    </r>
    <r>
      <rPr>
        <sz val="10"/>
        <color rgb="FF090A0A"/>
        <rFont val="游ゴシック体"/>
        <family val="2"/>
      </rPr>
      <t xml:space="preserve">・必須）→ ⑦ 📤 顧客提出は </t>
    </r>
    <r>
      <rPr>
        <sz val="10"/>
        <color rgb="FF090A0A"/>
        <rFont val="Noto Sans JP"/>
        <family val="0"/>
        <charset val="1"/>
      </rPr>
      <t xml:space="preserve">AI </t>
    </r>
    <r>
      <rPr>
        <sz val="10"/>
        <color rgb="FF090A0A"/>
        <rFont val="游ゴシック体"/>
        <family val="2"/>
      </rPr>
      <t xml:space="preserve">に「提出用の </t>
    </r>
    <r>
      <rPr>
        <sz val="10"/>
        <color rgb="FF090A0A"/>
        <rFont val="Noto Sans JP"/>
        <family val="0"/>
        <charset val="1"/>
      </rPr>
      <t xml:space="preserve">HTML / PDF </t>
    </r>
    <r>
      <rPr>
        <sz val="10"/>
        <color rgb="FF090A0A"/>
        <rFont val="游ゴシック体"/>
        <family val="2"/>
      </rPr>
      <t xml:space="preserve">を生成して」と依頼、または「見積書」の社内列を折りたたんで印刷範囲 </t>
    </r>
    <r>
      <rPr>
        <sz val="10"/>
        <color rgb="FF090A0A"/>
        <rFont val="Noto Sans JP"/>
        <family val="0"/>
        <charset val="1"/>
      </rPr>
      <t xml:space="preserve">A:I </t>
    </r>
    <r>
      <rPr>
        <sz val="10"/>
        <color rgb="FF090A0A"/>
        <rFont val="游ゴシック体"/>
        <family val="2"/>
      </rPr>
      <t xml:space="preserve">を </t>
    </r>
    <r>
      <rPr>
        <sz val="10"/>
        <color rgb="FF090A0A"/>
        <rFont val="Noto Sans JP"/>
        <family val="0"/>
        <charset val="1"/>
      </rPr>
      <t xml:space="preserve">PDF</t>
    </r>
    <r>
      <rPr>
        <sz val="10"/>
        <color rgb="FF090A0A"/>
        <rFont val="游ゴシック体"/>
        <family val="2"/>
      </rPr>
      <t xml:space="preserve">（この </t>
    </r>
    <r>
      <rPr>
        <sz val="10"/>
        <color rgb="FF090A0A"/>
        <rFont val="Noto Sans JP"/>
        <family val="0"/>
        <charset val="1"/>
      </rPr>
      <t xml:space="preserve">Excel </t>
    </r>
    <r>
      <rPr>
        <sz val="10"/>
        <color rgb="FF090A0A"/>
        <rFont val="游ゴシック体"/>
        <family val="2"/>
      </rPr>
      <t xml:space="preserve">は社内用）</t>
    </r>
  </si>
  <si>
    <r>
      <rPr>
        <sz val="9"/>
        <color rgb="FF6C7072"/>
        <rFont val="游ゴシック体"/>
        <family val="2"/>
      </rPr>
      <t xml:space="preserve">迷ったら </t>
    </r>
    <r>
      <rPr>
        <sz val="9"/>
        <color rgb="FF6C7072"/>
        <rFont val="Noto Sans JP"/>
        <family val="0"/>
        <charset val="1"/>
      </rPr>
      <t xml:space="preserve">AI </t>
    </r>
    <r>
      <rPr>
        <sz val="9"/>
        <color rgb="FF6C7072"/>
        <rFont val="游ゴシック体"/>
        <family val="2"/>
      </rPr>
      <t xml:space="preserve">に聞けば </t>
    </r>
    <r>
      <rPr>
        <sz val="9"/>
        <color rgb="FF6C7072"/>
        <rFont val="Noto Sans JP"/>
        <family val="0"/>
        <charset val="1"/>
      </rPr>
      <t xml:space="preserve">OK</t>
    </r>
    <r>
      <rPr>
        <sz val="9"/>
        <color rgb="FF6C7072"/>
        <rFont val="游ゴシック体"/>
        <family val="2"/>
      </rPr>
      <t xml:space="preserve">。キットは 🧭</t>
    </r>
    <r>
      <rPr>
        <sz val="9"/>
        <color rgb="FF6C7072"/>
        <rFont val="Noto Sans JP"/>
        <family val="0"/>
        <charset val="1"/>
      </rPr>
      <t xml:space="preserve">(</t>
    </r>
    <r>
      <rPr>
        <sz val="9"/>
        <color rgb="FF6C7072"/>
        <rFont val="游ゴシック体"/>
        <family val="2"/>
      </rPr>
      <t xml:space="preserve">開始</t>
    </r>
    <r>
      <rPr>
        <sz val="9"/>
        <color rgb="FF6C7072"/>
        <rFont val="Noto Sans JP"/>
        <family val="0"/>
        <charset val="1"/>
      </rPr>
      <t xml:space="preserve">) 📋(</t>
    </r>
    <r>
      <rPr>
        <sz val="9"/>
        <color rgb="FF6C7072"/>
        <rFont val="游ゴシック体"/>
        <family val="2"/>
      </rPr>
      <t xml:space="preserve">作業開始</t>
    </r>
    <r>
      <rPr>
        <sz val="9"/>
        <color rgb="FF6C7072"/>
        <rFont val="Noto Sans JP"/>
        <family val="0"/>
        <charset val="1"/>
      </rPr>
      <t xml:space="preserve">) ❓(</t>
    </r>
    <r>
      <rPr>
        <sz val="9"/>
        <color rgb="FF6C7072"/>
        <rFont val="游ゴシック体"/>
        <family val="2"/>
      </rPr>
      <t xml:space="preserve">質問</t>
    </r>
    <r>
      <rPr>
        <sz val="9"/>
        <color rgb="FF6C7072"/>
        <rFont val="Noto Sans JP"/>
        <family val="0"/>
        <charset val="1"/>
      </rPr>
      <t xml:space="preserve">) 🧮(</t>
    </r>
    <r>
      <rPr>
        <sz val="9"/>
        <color rgb="FF6C7072"/>
        <rFont val="游ゴシック体"/>
        <family val="2"/>
      </rPr>
      <t xml:space="preserve">試算</t>
    </r>
    <r>
      <rPr>
        <sz val="9"/>
        <color rgb="FF6C7072"/>
        <rFont val="Noto Sans JP"/>
        <family val="0"/>
        <charset val="1"/>
      </rPr>
      <t xml:space="preserve">) 🔔(</t>
    </r>
    <r>
      <rPr>
        <sz val="9"/>
        <color rgb="FF6C7072"/>
        <rFont val="游ゴシック体"/>
        <family val="2"/>
      </rPr>
      <t xml:space="preserve">要レビュー</t>
    </r>
    <r>
      <rPr>
        <sz val="9"/>
        <color rgb="FF6C7072"/>
        <rFont val="Noto Sans JP"/>
        <family val="0"/>
        <charset val="1"/>
      </rPr>
      <t xml:space="preserve">) ✅⏭(</t>
    </r>
    <r>
      <rPr>
        <sz val="9"/>
        <color rgb="FF6C7072"/>
        <rFont val="游ゴシック体"/>
        <family val="2"/>
      </rPr>
      <t xml:space="preserve">完了と次アクション</t>
    </r>
    <r>
      <rPr>
        <sz val="9"/>
        <color rgb="FF6C7072"/>
        <rFont val="Noto Sans JP"/>
        <family val="0"/>
        <charset val="1"/>
      </rPr>
      <t xml:space="preserve">) ⚠️(</t>
    </r>
    <r>
      <rPr>
        <sz val="9"/>
        <color rgb="FF6C7072"/>
        <rFont val="游ゴシック体"/>
        <family val="2"/>
      </rPr>
      <t xml:space="preserve">ブロッカー</t>
    </r>
    <r>
      <rPr>
        <sz val="9"/>
        <color rgb="FF6C7072"/>
        <rFont val="Noto Sans JP"/>
        <family val="0"/>
        <charset val="1"/>
      </rPr>
      <t xml:space="preserve">) 📤(</t>
    </r>
    <r>
      <rPr>
        <sz val="9"/>
        <color rgb="FF6C7072"/>
        <rFont val="游ゴシック体"/>
        <family val="2"/>
      </rPr>
      <t xml:space="preserve">出力</t>
    </r>
    <r>
      <rPr>
        <sz val="9"/>
        <color rgb="FF6C7072"/>
        <rFont val="Noto Sans JP"/>
        <family val="0"/>
        <charset val="1"/>
      </rPr>
      <t xml:space="preserve">) </t>
    </r>
    <r>
      <rPr>
        <sz val="9"/>
        <color rgb="FF6C7072"/>
        <rFont val="游ゴシック体"/>
        <family val="2"/>
      </rPr>
      <t xml:space="preserve">の絵文字で、毎回「次に何をすればいいか」を案内します。</t>
    </r>
  </si>
  <si>
    <t xml:space="preserve">🎨 色の凡例</t>
  </si>
  <si>
    <t xml:space="preserve">うすい水色のセル＝入力欄（自由に変更してよい）</t>
  </si>
  <si>
    <r>
      <rPr>
        <sz val="10"/>
        <color rgb="FF090A0A"/>
        <rFont val="游ゴシック体"/>
        <family val="2"/>
      </rPr>
      <t xml:space="preserve">白いセル＝自動計算や文字の欄。金額の白セルは保護済み（さわらない）。項目名・概要・根拠・担当・計上などの文字欄は白でも編集</t>
    </r>
    <r>
      <rPr>
        <sz val="10"/>
        <color rgb="FF090A0A"/>
        <rFont val="Noto Sans JP"/>
        <family val="0"/>
        <charset val="1"/>
      </rPr>
      <t xml:space="preserve">OK</t>
    </r>
  </si>
  <si>
    <t xml:space="preserve">グレー帯＝小計・集計行</t>
  </si>
  <si>
    <t xml:space="preserve">サンプル</t>
  </si>
  <si>
    <t xml:space="preserve">グレー文字＋取り消し線の行＝「計上 －」で金額から除外中の行</t>
  </si>
  <si>
    <t xml:space="preserve">紺色＝見出し・強調（入力欄ではない）</t>
  </si>
  <si>
    <r>
      <rPr>
        <sz val="10"/>
        <color rgb="FF090A0A"/>
        <rFont val="游ゴシック体"/>
        <family val="2"/>
      </rPr>
      <t xml:space="preserve">赤いセル＝担当が未入力か、設定の単価表に無い役割（金額が </t>
    </r>
    <r>
      <rPr>
        <sz val="10"/>
        <color rgb="FF090A0A"/>
        <rFont val="Noto Sans JP"/>
        <family val="0"/>
        <charset val="1"/>
      </rPr>
      <t xml:space="preserve">0 </t>
    </r>
    <r>
      <rPr>
        <sz val="10"/>
        <color rgb="FF090A0A"/>
        <rFont val="游ゴシック体"/>
        <family val="2"/>
      </rPr>
      <t xml:space="preserve">になっています。担当を直してください）</t>
    </r>
  </si>
  <si>
    <t xml:space="preserve">📊 「見積サマリ」シート</t>
  </si>
  <si>
    <r>
      <rPr>
        <sz val="10"/>
        <color rgb="FF090A0A"/>
        <rFont val="游ゴシック体"/>
        <family val="2"/>
      </rPr>
      <t xml:space="preserve">見積書の隣にある、案件概要＋金額サマリ（フェーズ別の工数・金額税抜、合計税抜</t>
    </r>
    <r>
      <rPr>
        <sz val="10"/>
        <color rgb="FF090A0A"/>
        <rFont val="Noto Sans JP"/>
        <family val="0"/>
        <charset val="1"/>
      </rPr>
      <t xml:space="preserve">/</t>
    </r>
    <r>
      <rPr>
        <sz val="10"/>
        <color rgb="FF090A0A"/>
        <rFont val="游ゴシック体"/>
        <family val="2"/>
      </rPr>
      <t xml:space="preserve">消費税</t>
    </r>
    <r>
      <rPr>
        <sz val="10"/>
        <color rgb="FF090A0A"/>
        <rFont val="Noto Sans JP"/>
        <family val="0"/>
        <charset val="1"/>
      </rPr>
      <t xml:space="preserve">/</t>
    </r>
    <r>
      <rPr>
        <sz val="10"/>
        <color rgb="FF090A0A"/>
        <rFont val="游ゴシック体"/>
        <family val="2"/>
      </rPr>
      <t xml:space="preserve">税込、採算）のシート。見積書と数式連携しているので、明細を直すと自動で更新されます。開いた瞬間に合計が見えるので、下にスクロールする必要はありません。顧客提出は印刷範囲 </t>
    </r>
    <r>
      <rPr>
        <sz val="10"/>
        <color rgb="FF090A0A"/>
        <rFont val="Noto Sans JP"/>
        <family val="0"/>
        <charset val="1"/>
      </rPr>
      <t xml:space="preserve">A:D</t>
    </r>
    <r>
      <rPr>
        <sz val="10"/>
        <color rgb="FF090A0A"/>
        <rFont val="游ゴシック体"/>
        <family val="2"/>
      </rPr>
      <t xml:space="preserve">（採算・社内数字は範囲外）。</t>
    </r>
  </si>
  <si>
    <t xml:space="preserve">📝 「見積書」シート</t>
  </si>
  <si>
    <r>
      <rPr>
        <sz val="10"/>
        <color rgb="FF090A0A"/>
        <rFont val="游ゴシック体"/>
        <family val="2"/>
      </rPr>
      <t xml:space="preserve">顧客に渡す見積明細。工数・担当・項目を調整し、計上 ✓</t>
    </r>
    <r>
      <rPr>
        <sz val="10"/>
        <color rgb="FF090A0A"/>
        <rFont val="Noto Sans JP"/>
        <family val="0"/>
        <charset val="1"/>
      </rPr>
      <t xml:space="preserve">/</t>
    </r>
    <r>
      <rPr>
        <sz val="10"/>
        <color rgb="FF090A0A"/>
        <rFont val="游ゴシック体"/>
        <family val="2"/>
      </rPr>
      <t xml:space="preserve">－ で金額に反映します。編集はここ、金額の確認は隣の「見積サマリ」で。</t>
    </r>
  </si>
  <si>
    <t xml:space="preserve">📕 社内列の折りたたみ</t>
  </si>
  <si>
    <r>
      <rPr>
        <sz val="10"/>
        <color rgb="FF090A0A"/>
        <rFont val="游ゴシック体"/>
        <family val="2"/>
      </rPr>
      <t xml:space="preserve">見積書の 社内金額 👤・根拠・優先度</t>
    </r>
    <r>
      <rPr>
        <sz val="10"/>
        <color rgb="FF090A0A"/>
        <rFont val="Noto Sans JP"/>
        <family val="0"/>
        <charset val="1"/>
      </rPr>
      <t xml:space="preserve">(MWO) </t>
    </r>
    <r>
      <rPr>
        <sz val="10"/>
        <color rgb="FF090A0A"/>
        <rFont val="游ゴシック体"/>
        <family val="2"/>
      </rPr>
      <t xml:space="preserve">の列（</t>
    </r>
    <r>
      <rPr>
        <sz val="10"/>
        <color rgb="FF090A0A"/>
        <rFont val="Noto Sans JP"/>
        <family val="0"/>
        <charset val="1"/>
      </rPr>
      <t xml:space="preserve">J</t>
    </r>
    <r>
      <rPr>
        <sz val="10"/>
        <color rgb="FF090A0A"/>
        <rFont val="游ゴシック体"/>
        <family val="2"/>
      </rPr>
      <t xml:space="preserve">〜</t>
    </r>
    <r>
      <rPr>
        <sz val="10"/>
        <color rgb="FF090A0A"/>
        <rFont val="Noto Sans JP"/>
        <family val="0"/>
        <charset val="1"/>
      </rPr>
      <t xml:space="preserve">L</t>
    </r>
    <r>
      <rPr>
        <sz val="10"/>
        <color rgb="FF090A0A"/>
        <rFont val="游ゴシック体"/>
        <family val="2"/>
      </rPr>
      <t xml:space="preserve">）と右側の分析ブロックは『社内グループ』にまとまっています。列の上の </t>
    </r>
    <r>
      <rPr>
        <sz val="10"/>
        <color rgb="FF090A0A"/>
        <rFont val="Noto Sans JP"/>
        <family val="0"/>
        <charset val="1"/>
      </rPr>
      <t xml:space="preserve">[</t>
    </r>
    <r>
      <rPr>
        <sz val="10"/>
        <color rgb="FF090A0A"/>
        <rFont val="游ゴシック体"/>
        <family val="2"/>
      </rPr>
      <t xml:space="preserve">－</t>
    </r>
    <r>
      <rPr>
        <sz val="10"/>
        <color rgb="FF090A0A"/>
        <rFont val="Noto Sans JP"/>
        <family val="0"/>
        <charset val="1"/>
      </rPr>
      <t xml:space="preserve">] </t>
    </r>
    <r>
      <rPr>
        <sz val="10"/>
        <color rgb="FF090A0A"/>
        <rFont val="游ゴシック体"/>
        <family val="2"/>
      </rPr>
      <t xml:space="preserve">ボタンでワンクリックで隠せます。顧客に見せる列（項目〜金額税抜＝</t>
    </r>
    <r>
      <rPr>
        <sz val="10"/>
        <color rgb="FF090A0A"/>
        <rFont val="Noto Sans JP"/>
        <family val="0"/>
        <charset val="1"/>
      </rPr>
      <t xml:space="preserve">A</t>
    </r>
    <r>
      <rPr>
        <sz val="10"/>
        <color rgb="FF090A0A"/>
        <rFont val="游ゴシック体"/>
        <family val="2"/>
      </rPr>
      <t xml:space="preserve">〜</t>
    </r>
    <r>
      <rPr>
        <sz val="10"/>
        <color rgb="FF090A0A"/>
        <rFont val="Noto Sans JP"/>
        <family val="0"/>
        <charset val="1"/>
      </rPr>
      <t xml:space="preserve">I</t>
    </r>
    <r>
      <rPr>
        <sz val="10"/>
        <color rgb="FF090A0A"/>
        <rFont val="游ゴシック体"/>
        <family val="2"/>
      </rPr>
      <t xml:space="preserve">）だけが残るので、印刷範囲 </t>
    </r>
    <r>
      <rPr>
        <sz val="10"/>
        <color rgb="FF090A0A"/>
        <rFont val="Noto Sans JP"/>
        <family val="0"/>
        <charset val="1"/>
      </rPr>
      <t xml:space="preserve">A:I </t>
    </r>
    <r>
      <rPr>
        <sz val="10"/>
        <color rgb="FF090A0A"/>
        <rFont val="游ゴシック体"/>
        <family val="2"/>
      </rPr>
      <t xml:space="preserve">をそのまま </t>
    </r>
    <r>
      <rPr>
        <sz val="10"/>
        <color rgb="FF090A0A"/>
        <rFont val="Noto Sans JP"/>
        <family val="0"/>
        <charset val="1"/>
      </rPr>
      <t xml:space="preserve">PDF </t>
    </r>
    <r>
      <rPr>
        <sz val="10"/>
        <color rgb="FF090A0A"/>
        <rFont val="游ゴシック体"/>
        <family val="2"/>
      </rPr>
      <t xml:space="preserve">にすれば顧客提出物になります（社内の原価・利益率は出ません）。見積サマリも同様に </t>
    </r>
    <r>
      <rPr>
        <sz val="10"/>
        <color rgb="FF090A0A"/>
        <rFont val="Noto Sans JP"/>
        <family val="0"/>
        <charset val="1"/>
      </rPr>
      <t xml:space="preserve">A:D </t>
    </r>
    <r>
      <rPr>
        <sz val="10"/>
        <color rgb="FF090A0A"/>
        <rFont val="游ゴシック体"/>
        <family val="2"/>
      </rPr>
      <t xml:space="preserve">が顧客提出範囲です。</t>
    </r>
  </si>
  <si>
    <t xml:space="preserve">✓ チェック列（計上）</t>
  </si>
  <si>
    <t xml:space="preserve">✓＝金額に入れる ／ －＝外す。スコープ調整・値引き交渉のときは、行を消さずに － にするのがおすすめ（「やらないこと」が残るので後で戻せる・説明できる）。★スコープ未確定の機能も － のまま一覧に残せます。</t>
  </si>
  <si>
    <t xml:space="preserve">📦 【内訳合計】の親行</t>
  </si>
  <si>
    <r>
      <rPr>
        <sz val="10"/>
        <color rgb="FF090A0A"/>
        <rFont val="游ゴシック体"/>
        <family val="2"/>
      </rPr>
      <t xml:space="preserve">大きな機能を子行（└）に分解したときの親行。金額・工数は子行の合計が自動で入ります。機能ごと外したいときは、親行ではなく子行（└）すべての計上を － にしてください（親行の合計が自動で </t>
    </r>
    <r>
      <rPr>
        <sz val="10"/>
        <color rgb="FF090A0A"/>
        <rFont val="Noto Sans JP"/>
        <family val="0"/>
        <charset val="1"/>
      </rPr>
      <t xml:space="preserve">0 </t>
    </r>
    <r>
      <rPr>
        <sz val="10"/>
        <color rgb="FF090A0A"/>
        <rFont val="游ゴシック体"/>
        <family val="2"/>
      </rPr>
      <t xml:space="preserve">になります）。子行を増やすときは子行と子行の間に挿入。</t>
    </r>
  </si>
  <si>
    <r>
      <rPr>
        <b val="true"/>
        <sz val="10"/>
        <color rgb="FF090A0A"/>
        <rFont val="Noto Sans JP"/>
        <family val="0"/>
        <charset val="1"/>
      </rPr>
      <t xml:space="preserve">🧮 PM</t>
    </r>
    <r>
      <rPr>
        <b val="true"/>
        <sz val="10"/>
        <color rgb="FF090A0A"/>
        <rFont val="游ゴシック体"/>
        <family val="2"/>
      </rPr>
      <t xml:space="preserve">・全体管理の行</t>
    </r>
  </si>
  <si>
    <r>
      <rPr>
        <sz val="10"/>
        <color rgb="FF090A0A"/>
        <rFont val="游ゴシック体"/>
        <family val="2"/>
      </rPr>
      <t xml:space="preserve">工数欄が </t>
    </r>
    <r>
      <rPr>
        <sz val="10"/>
        <color rgb="FF090A0A"/>
        <rFont val="Noto Sans JP"/>
        <family val="0"/>
        <charset val="1"/>
      </rPr>
      <t xml:space="preserve">% </t>
    </r>
    <r>
      <rPr>
        <sz val="10"/>
        <color rgb="FF090A0A"/>
        <rFont val="游ゴシック体"/>
        <family val="2"/>
      </rPr>
      <t xml:space="preserve">になっている行は「そのフェーズの費用 </t>
    </r>
    <r>
      <rPr>
        <sz val="10"/>
        <color rgb="FF090A0A"/>
        <rFont val="Noto Sans JP"/>
        <family val="0"/>
        <charset val="1"/>
      </rPr>
      <t xml:space="preserve">× </t>
    </r>
    <r>
      <rPr>
        <sz val="10"/>
        <color rgb="FF090A0A"/>
        <rFont val="游ゴシック体"/>
        <family val="2"/>
      </rPr>
      <t xml:space="preserve">率」で自動計算される管理費です。率は設定シートの管理費率と連動。行ごとに数字で上書きもできます（設定連動に戻すには、そのセルに半角で </t>
    </r>
    <r>
      <rPr>
        <sz val="10"/>
        <color rgb="FF090A0A"/>
        <rFont val="Noto Sans JP"/>
        <family val="0"/>
        <charset val="1"/>
      </rPr>
      <t xml:space="preserve">=</t>
    </r>
    <r>
      <rPr>
        <sz val="10"/>
        <color rgb="FF090A0A"/>
        <rFont val="游ゴシック体"/>
        <family val="2"/>
      </rPr>
      <t xml:space="preserve">管理費率 と入力）。</t>
    </r>
  </si>
  <si>
    <r>
      <rPr>
        <b val="true"/>
        <sz val="10"/>
        <color rgb="FF090A0A"/>
        <rFont val="游ゴシック体"/>
        <family val="2"/>
      </rPr>
      <t xml:space="preserve">🔤 優先度（</t>
    </r>
    <r>
      <rPr>
        <b val="true"/>
        <sz val="10"/>
        <color rgb="FF090A0A"/>
        <rFont val="Noto Sans JP"/>
        <family val="0"/>
        <charset val="1"/>
      </rPr>
      <t xml:space="preserve">MWO</t>
    </r>
    <r>
      <rPr>
        <b val="true"/>
        <sz val="10"/>
        <color rgb="FF090A0A"/>
        <rFont val="游ゴシック体"/>
        <family val="2"/>
      </rPr>
      <t xml:space="preserve">）列</t>
    </r>
  </si>
  <si>
    <r>
      <rPr>
        <sz val="10"/>
        <color rgb="FF090A0A"/>
        <rFont val="游ゴシック体"/>
        <family val="2"/>
      </rPr>
      <t xml:space="preserve">金額を動かすいちばん大事な列。</t>
    </r>
    <r>
      <rPr>
        <sz val="10"/>
        <color rgb="FF090A0A"/>
        <rFont val="Noto Sans JP"/>
        <family val="0"/>
        <charset val="1"/>
      </rPr>
      <t xml:space="preserve">M(Must)=</t>
    </r>
    <r>
      <rPr>
        <sz val="10"/>
        <color rgb="FF090A0A"/>
        <rFont val="游ゴシック体"/>
        <family val="2"/>
      </rPr>
      <t xml:space="preserve">必須＝これだけで成立する最小構成 ／ </t>
    </r>
    <r>
      <rPr>
        <sz val="10"/>
        <color rgb="FF090A0A"/>
        <rFont val="Noto Sans JP"/>
        <family val="0"/>
        <charset val="1"/>
      </rPr>
      <t xml:space="preserve">W(Want)=</t>
    </r>
    <r>
      <rPr>
        <sz val="10"/>
        <color rgb="FF090A0A"/>
        <rFont val="游ゴシック体"/>
        <family val="2"/>
      </rPr>
      <t xml:space="preserve">できれば欲しい＝【予算調整の余地】 ／ </t>
    </r>
    <r>
      <rPr>
        <sz val="10"/>
        <color rgb="FF090A0A"/>
        <rFont val="Noto Sans JP"/>
        <family val="0"/>
        <charset val="1"/>
      </rPr>
      <t xml:space="preserve">O(Out)=</t>
    </r>
    <r>
      <rPr>
        <sz val="10"/>
        <color rgb="FF090A0A"/>
        <rFont val="游ゴシック体"/>
        <family val="2"/>
      </rPr>
      <t xml:space="preserve">対象外 ／ ★未確定</t>
    </r>
    <r>
      <rPr>
        <sz val="10"/>
        <color rgb="FF090A0A"/>
        <rFont val="Noto Sans JP"/>
        <family val="0"/>
        <charset val="1"/>
      </rPr>
      <t xml:space="preserve">=</t>
    </r>
    <r>
      <rPr>
        <sz val="10"/>
        <color rgb="FF090A0A"/>
        <rFont val="游ゴシック体"/>
        <family val="2"/>
      </rPr>
      <t xml:space="preserve">要件が固まっていない（</t>
    </r>
    <r>
      <rPr>
        <sz val="10"/>
        <color rgb="FF090A0A"/>
        <rFont val="Noto Sans JP"/>
        <family val="0"/>
        <charset val="1"/>
      </rPr>
      <t xml:space="preserve">0 </t>
    </r>
    <r>
      <rPr>
        <sz val="10"/>
        <color rgb="FF090A0A"/>
        <rFont val="游ゴシック体"/>
        <family val="2"/>
      </rPr>
      <t xml:space="preserve">計上で一覧に残す）。明細右の 💡 ブロックに「</t>
    </r>
    <r>
      <rPr>
        <sz val="10"/>
        <color rgb="FF090A0A"/>
        <rFont val="Noto Sans JP"/>
        <family val="0"/>
        <charset val="1"/>
      </rPr>
      <t xml:space="preserve">M </t>
    </r>
    <r>
      <rPr>
        <sz val="10"/>
        <color rgb="FF090A0A"/>
        <rFont val="游ゴシック体"/>
        <family val="2"/>
      </rPr>
      <t xml:space="preserve">だけの金額」「</t>
    </r>
    <r>
      <rPr>
        <sz val="10"/>
        <color rgb="FF090A0A"/>
        <rFont val="Noto Sans JP"/>
        <family val="0"/>
        <charset val="1"/>
      </rPr>
      <t xml:space="preserve">W </t>
    </r>
    <r>
      <rPr>
        <sz val="10"/>
        <color rgb="FF090A0A"/>
        <rFont val="游ゴシック体"/>
        <family val="2"/>
      </rPr>
      <t xml:space="preserve">の合計（＝いくら削れるか）」が自動集計されるので、予算オーバーのときは ① 💡 で </t>
    </r>
    <r>
      <rPr>
        <sz val="10"/>
        <color rgb="FF090A0A"/>
        <rFont val="Noto Sans JP"/>
        <family val="0"/>
        <charset val="1"/>
      </rPr>
      <t xml:space="preserve">W </t>
    </r>
    <r>
      <rPr>
        <sz val="10"/>
        <color rgb="FF090A0A"/>
        <rFont val="游ゴシック体"/>
        <family val="2"/>
      </rPr>
      <t xml:space="preserve">の合計を見る → ② </t>
    </r>
    <r>
      <rPr>
        <sz val="10"/>
        <color rgb="FF090A0A"/>
        <rFont val="Noto Sans JP"/>
        <family val="0"/>
        <charset val="1"/>
      </rPr>
      <t xml:space="preserve">W </t>
    </r>
    <r>
      <rPr>
        <sz val="10"/>
        <color rgb="FF090A0A"/>
        <rFont val="游ゴシック体"/>
        <family val="2"/>
      </rPr>
      <t xml:space="preserve">の行の計上を － にする、の順で調整します（値引きより先に）。</t>
    </r>
    <r>
      <rPr>
        <sz val="10"/>
        <color rgb="FF090A0A"/>
        <rFont val="Noto Sans JP"/>
        <family val="0"/>
        <charset val="1"/>
      </rPr>
      <t xml:space="preserve">W </t>
    </r>
    <r>
      <rPr>
        <sz val="10"/>
        <color rgb="FF090A0A"/>
        <rFont val="游ゴシック体"/>
        <family val="2"/>
      </rPr>
      <t xml:space="preserve">は青太字・★未確定は赤で表示されます。</t>
    </r>
  </si>
  <si>
    <t xml:space="preserve">💰 バッファ・体制維持費・値引き</t>
  </si>
  <si>
    <r>
      <rPr>
        <sz val="10"/>
        <color rgb="FF090A0A"/>
        <rFont val="游ゴシック体"/>
        <family val="2"/>
      </rPr>
      <t xml:space="preserve">設定シートで「提示金額にバッファを適用」を ✓ にすると、提示額に係数分が上乗せされます。体制維持費（任意・率）と値引きも設定シートの値が提示額に反映されます。全部「見える行」として金額構成に出ます（</t>
    </r>
    <r>
      <rPr>
        <sz val="10"/>
        <color rgb="FF090A0A"/>
        <rFont val="Noto Sans JP"/>
        <family val="0"/>
        <charset val="1"/>
      </rPr>
      <t xml:space="preserve">Rule 5: </t>
    </r>
    <r>
      <rPr>
        <sz val="10"/>
        <color rgb="FF090A0A"/>
        <rFont val="游ゴシック体"/>
        <family val="2"/>
      </rPr>
      <t xml:space="preserve">盛りと儲けを隠さない）。</t>
    </r>
  </si>
  <si>
    <t xml:space="preserve">📚 ことば（これだけ）</t>
  </si>
  <si>
    <r>
      <rPr>
        <sz val="10"/>
        <color rgb="FF090A0A"/>
        <rFont val="游ゴシック体"/>
        <family val="2"/>
      </rPr>
      <t xml:space="preserve">人日＝</t>
    </r>
    <r>
      <rPr>
        <sz val="10"/>
        <color rgb="FF090A0A"/>
        <rFont val="Noto Sans JP"/>
        <family val="0"/>
        <charset val="1"/>
      </rPr>
      <t xml:space="preserve">1 </t>
    </r>
    <r>
      <rPr>
        <sz val="10"/>
        <color rgb="FF090A0A"/>
        <rFont val="游ゴシック体"/>
        <family val="2"/>
      </rPr>
      <t xml:space="preserve">人が </t>
    </r>
    <r>
      <rPr>
        <sz val="10"/>
        <color rgb="FF090A0A"/>
        <rFont val="Noto Sans JP"/>
        <family val="0"/>
        <charset val="1"/>
      </rPr>
      <t xml:space="preserve">1 </t>
    </r>
    <r>
      <rPr>
        <sz val="10"/>
        <color rgb="FF090A0A"/>
        <rFont val="游ゴシック体"/>
        <family val="2"/>
      </rPr>
      <t xml:space="preserve">営業日（約 </t>
    </r>
    <r>
      <rPr>
        <sz val="10"/>
        <color rgb="FF090A0A"/>
        <rFont val="Noto Sans JP"/>
        <family val="0"/>
        <charset val="1"/>
      </rPr>
      <t xml:space="preserve">8 </t>
    </r>
    <r>
      <rPr>
        <sz val="10"/>
        <color rgb="FF090A0A"/>
        <rFont val="游ゴシック体"/>
        <family val="2"/>
      </rPr>
      <t xml:space="preserve">時間）働く量。</t>
    </r>
    <r>
      <rPr>
        <sz val="10"/>
        <color rgb="FF090A0A"/>
        <rFont val="Noto Sans JP"/>
        <family val="0"/>
        <charset val="1"/>
      </rPr>
      <t xml:space="preserve">3 </t>
    </r>
    <r>
      <rPr>
        <sz val="10"/>
        <color rgb="FF090A0A"/>
        <rFont val="游ゴシック体"/>
        <family val="2"/>
      </rPr>
      <t xml:space="preserve">人日＝</t>
    </r>
    <r>
      <rPr>
        <sz val="10"/>
        <color rgb="FF090A0A"/>
        <rFont val="Noto Sans JP"/>
        <family val="0"/>
        <charset val="1"/>
      </rPr>
      <t xml:space="preserve">1 </t>
    </r>
    <r>
      <rPr>
        <sz val="10"/>
        <color rgb="FF090A0A"/>
        <rFont val="游ゴシック体"/>
        <family val="2"/>
      </rPr>
      <t xml:space="preserve">人なら </t>
    </r>
    <r>
      <rPr>
        <sz val="10"/>
        <color rgb="FF090A0A"/>
        <rFont val="Noto Sans JP"/>
        <family val="0"/>
        <charset val="1"/>
      </rPr>
      <t xml:space="preserve">3 </t>
    </r>
    <r>
      <rPr>
        <sz val="10"/>
        <color rgb="FF090A0A"/>
        <rFont val="游ゴシック体"/>
        <family val="2"/>
      </rPr>
      <t xml:space="preserve">日。／ 社内単価＝原価（社外秘）・社外単価＝お客様への請求単価。提示額に効くのは社外単価。／ 利益率 </t>
    </r>
    <r>
      <rPr>
        <sz val="10"/>
        <color rgb="FF090A0A"/>
        <rFont val="Noto Sans JP"/>
        <family val="0"/>
        <charset val="1"/>
      </rPr>
      <t xml:space="preserve">2 </t>
    </r>
    <r>
      <rPr>
        <sz val="10"/>
        <color rgb="FF090A0A"/>
        <rFont val="游ゴシック体"/>
        <family val="2"/>
      </rPr>
      <t xml:space="preserve">種＝上段は予定どおり終わった場合、下段はバッファ分まで工数を使い切った場合の最悪ライン。下段がマイナスなら受注前に要相談。</t>
    </r>
  </si>
  <si>
    <t xml:space="preserve">👤 社内限りマーク</t>
  </si>
  <si>
    <r>
      <rPr>
        <sz val="10"/>
        <color rgb="FF090A0A"/>
        <rFont val="游ゴシック体"/>
        <family val="2"/>
      </rPr>
      <t xml:space="preserve">社内金額・利益率・社内単価は社外に出せません（</t>
    </r>
    <r>
      <rPr>
        <sz val="10"/>
        <color rgb="FF090A0A"/>
        <rFont val="Noto Sans JP"/>
        <family val="0"/>
        <charset val="1"/>
      </rPr>
      <t xml:space="preserve">Rule 10</t>
    </r>
    <r>
      <rPr>
        <sz val="10"/>
        <color rgb="FF090A0A"/>
        <rFont val="游ゴシック体"/>
        <family val="2"/>
      </rPr>
      <t xml:space="preserve">）。このファイルは【社内用】です。顧客提出はキットの提出用 </t>
    </r>
    <r>
      <rPr>
        <sz val="10"/>
        <color rgb="FF090A0A"/>
        <rFont val="Noto Sans JP"/>
        <family val="0"/>
        <charset val="1"/>
      </rPr>
      <t xml:space="preserve">HTML / PDF </t>
    </r>
    <r>
      <rPr>
        <sz val="10"/>
        <color rgb="FF090A0A"/>
        <rFont val="游ゴシック体"/>
        <family val="2"/>
      </rPr>
      <t xml:space="preserve">が標準。</t>
    </r>
    <r>
      <rPr>
        <sz val="10"/>
        <color rgb="FF090A0A"/>
        <rFont val="Noto Sans JP"/>
        <family val="0"/>
        <charset val="1"/>
      </rPr>
      <t xml:space="preserve">Excel </t>
    </r>
    <r>
      <rPr>
        <sz val="10"/>
        <color rgb="FF090A0A"/>
        <rFont val="游ゴシック体"/>
        <family val="2"/>
      </rPr>
      <t xml:space="preserve">で渡す場合は「見積書」の社内列（</t>
    </r>
    <r>
      <rPr>
        <sz val="10"/>
        <color rgb="FF090A0A"/>
        <rFont val="Noto Sans JP"/>
        <family val="0"/>
        <charset val="1"/>
      </rPr>
      <t xml:space="preserve">J</t>
    </r>
    <r>
      <rPr>
        <sz val="10"/>
        <color rgb="FF090A0A"/>
        <rFont val="游ゴシック体"/>
        <family val="2"/>
      </rPr>
      <t xml:space="preserve">〜</t>
    </r>
    <r>
      <rPr>
        <sz val="10"/>
        <color rgb="FF090A0A"/>
        <rFont val="Noto Sans JP"/>
        <family val="0"/>
        <charset val="1"/>
      </rPr>
      <t xml:space="preserve">L </t>
    </r>
    <r>
      <rPr>
        <sz val="10"/>
        <color rgb="FF090A0A"/>
        <rFont val="游ゴシック体"/>
        <family val="2"/>
      </rPr>
      <t xml:space="preserve">と右側ブロック）を折りたたみ、印刷範囲 </t>
    </r>
    <r>
      <rPr>
        <sz val="10"/>
        <color rgb="FF090A0A"/>
        <rFont val="Noto Sans JP"/>
        <family val="0"/>
        <charset val="1"/>
      </rPr>
      <t xml:space="preserve">A:I </t>
    </r>
    <r>
      <rPr>
        <sz val="10"/>
        <color rgb="FF090A0A"/>
        <rFont val="游ゴシック体"/>
        <family val="2"/>
      </rPr>
      <t xml:space="preserve">を </t>
    </r>
    <r>
      <rPr>
        <sz val="10"/>
        <color rgb="FF090A0A"/>
        <rFont val="Noto Sans JP"/>
        <family val="0"/>
        <charset val="1"/>
      </rPr>
      <t xml:space="preserve">PDF </t>
    </r>
    <r>
      <rPr>
        <sz val="10"/>
        <color rgb="FF090A0A"/>
        <rFont val="游ゴシック体"/>
        <family val="2"/>
      </rPr>
      <t xml:space="preserve">出力してください（社内数字は出ません）。</t>
    </r>
  </si>
  <si>
    <t xml:space="preserve">📅 スケジュール（動的）</t>
  </si>
  <si>
    <r>
      <rPr>
        <sz val="10"/>
        <color rgb="FF090A0A"/>
        <rFont val="游ゴシック体"/>
        <family val="2"/>
      </rPr>
      <t xml:space="preserve">開始日・並走人数・開始ラグ・審査待ち日数（青セル）を変えると、ガントと総期間が自動で動きます。「工数</t>
    </r>
    <r>
      <rPr>
        <sz val="10"/>
        <color rgb="FF090A0A"/>
        <rFont val="Noto Sans JP"/>
        <family val="0"/>
        <charset val="1"/>
      </rPr>
      <t xml:space="preserve">(</t>
    </r>
    <r>
      <rPr>
        <sz val="10"/>
        <color rgb="FF090A0A"/>
        <rFont val="游ゴシック体"/>
        <family val="2"/>
      </rPr>
      <t xml:space="preserve">人日</t>
    </r>
    <r>
      <rPr>
        <sz val="10"/>
        <color rgb="FF090A0A"/>
        <rFont val="Noto Sans JP"/>
        <family val="0"/>
        <charset val="1"/>
      </rPr>
      <t xml:space="preserve">)</t>
    </r>
    <r>
      <rPr>
        <sz val="10"/>
        <color rgb="FF090A0A"/>
        <rFont val="游ゴシック体"/>
        <family val="2"/>
      </rPr>
      <t xml:space="preserve">」が数式の工程は「見積書」の「見積書」の見積明細と連動しており、明細の工数変更や計上 － でスケジュールも自動で伸縮します。開始ラグを手入力すると、その工程以降の「前の工程が終わったら開始」の自動連結が外れます（並走させたいときだけ上書き。戻すには </t>
    </r>
    <r>
      <rPr>
        <sz val="10"/>
        <color rgb="FF090A0A"/>
        <rFont val="Noto Sans JP"/>
        <family val="0"/>
        <charset val="1"/>
      </rPr>
      <t xml:space="preserve">=</t>
    </r>
    <r>
      <rPr>
        <sz val="10"/>
        <color rgb="FF090A0A"/>
        <rFont val="游ゴシック体"/>
        <family val="2"/>
      </rPr>
      <t xml:space="preserve">前の行の</t>
    </r>
    <r>
      <rPr>
        <sz val="10"/>
        <color rgb="FF090A0A"/>
        <rFont val="Noto Sans JP"/>
        <family val="0"/>
        <charset val="1"/>
      </rPr>
      <t xml:space="preserve">G+</t>
    </r>
    <r>
      <rPr>
        <sz val="10"/>
        <color rgb="FF090A0A"/>
        <rFont val="游ゴシック体"/>
        <family val="2"/>
      </rPr>
      <t xml:space="preserve">前の行の</t>
    </r>
    <r>
      <rPr>
        <sz val="10"/>
        <color rgb="FF090A0A"/>
        <rFont val="Noto Sans JP"/>
        <family val="0"/>
        <charset val="1"/>
      </rPr>
      <t xml:space="preserve">F</t>
    </r>
    <r>
      <rPr>
        <sz val="10"/>
        <color rgb="FF090A0A"/>
        <rFont val="游ゴシック体"/>
        <family val="2"/>
      </rPr>
      <t xml:space="preserve">）。ガントの月列は </t>
    </r>
    <r>
      <rPr>
        <sz val="10"/>
        <color rgb="FF090A0A"/>
        <rFont val="Noto Sans JP"/>
        <family val="0"/>
        <charset val="1"/>
      </rPr>
      <t xml:space="preserve">18 </t>
    </r>
    <r>
      <rPr>
        <sz val="10"/>
        <color rgb="FF090A0A"/>
        <rFont val="游ゴシック体"/>
        <family val="2"/>
      </rPr>
      <t xml:space="preserve">ヶ月分。超える場合は右に列をコピーしてください。</t>
    </r>
  </si>
  <si>
    <t xml:space="preserve">📋 前提条件・対象外</t>
  </si>
  <si>
    <r>
      <rPr>
        <sz val="10"/>
        <color rgb="FF090A0A"/>
        <rFont val="游ゴシック体"/>
        <family val="2"/>
      </rPr>
      <t xml:space="preserve">見積根拠・対応範囲・対象外・契約形態・環境・納品物・検収条件を記録する独立シート（</t>
    </r>
    <r>
      <rPr>
        <sz val="10"/>
        <color rgb="FF090A0A"/>
        <rFont val="Noto Sans JP"/>
        <family val="0"/>
        <charset val="1"/>
      </rPr>
      <t xml:space="preserve">Rule 3</t>
    </r>
    <r>
      <rPr>
        <sz val="10"/>
        <color rgb="FF090A0A"/>
        <rFont val="游ゴシック体"/>
        <family val="2"/>
      </rPr>
      <t xml:space="preserve">）。「ここから外れたら別途お見積もり」の線引きで、あとから揉めないための保険。顧客説明ではまずこのシートを提示し、その後「見積書」で金額の内訳を説明する運びが基本。</t>
    </r>
  </si>
  <si>
    <t xml:space="preserve">🗣 ヒアリングシート</t>
  </si>
  <si>
    <r>
      <rPr>
        <sz val="10"/>
        <color rgb="FF090A0A"/>
        <rFont val="游ゴシック体"/>
        <family val="2"/>
      </rPr>
      <t xml:space="preserve">お客様ヒアリングの観点漏れを防ぐチェック（</t>
    </r>
    <r>
      <rPr>
        <sz val="10"/>
        <color rgb="FF090A0A"/>
        <rFont val="Noto Sans JP"/>
        <family val="0"/>
        <charset val="1"/>
      </rPr>
      <t xml:space="preserve">51+3 </t>
    </r>
    <r>
      <rPr>
        <sz val="10"/>
        <color rgb="FF090A0A"/>
        <rFont val="游ゴシック体"/>
        <family val="2"/>
      </rPr>
      <t xml:space="preserve">項目）。見積もりから分かる項目（例</t>
    </r>
    <r>
      <rPr>
        <sz val="10"/>
        <color rgb="FF090A0A"/>
        <rFont val="Noto Sans JP"/>
        <family val="0"/>
        <charset val="1"/>
      </rPr>
      <t xml:space="preserve">: </t>
    </r>
    <r>
      <rPr>
        <sz val="10"/>
        <color rgb="FF090A0A"/>
        <rFont val="游ゴシック体"/>
        <family val="2"/>
      </rPr>
      <t xml:space="preserve">オフショア利用・管理画面・多言語・脆弱性診断 等）は </t>
    </r>
    <r>
      <rPr>
        <sz val="10"/>
        <color rgb="FF090A0A"/>
        <rFont val="Noto Sans JP"/>
        <family val="0"/>
        <charset val="1"/>
      </rPr>
      <t xml:space="preserve">AI </t>
    </r>
    <r>
      <rPr>
        <sz val="10"/>
        <color rgb="FF090A0A"/>
        <rFont val="游ゴシック体"/>
        <family val="2"/>
      </rPr>
      <t xml:space="preserve">が回答を事前記入（水色セル＝要確認）。全項目に答える必要はなく、人は各観点を見て『確認』列に ✓ を付けるだけ（✓ で行が緑に色付き、上部に「確認済み ○</t>
    </r>
    <r>
      <rPr>
        <sz val="10"/>
        <color rgb="FF090A0A"/>
        <rFont val="Noto Sans JP"/>
        <family val="0"/>
        <charset val="1"/>
      </rPr>
      <t xml:space="preserve">/54</t>
    </r>
    <r>
      <rPr>
        <sz val="10"/>
        <color rgb="FF090A0A"/>
        <rFont val="游ゴシック体"/>
        <family val="2"/>
      </rPr>
      <t xml:space="preserve">」が出ます）。</t>
    </r>
  </si>
  <si>
    <t xml:space="preserve">🛡 非機能要件チェック</t>
  </si>
  <si>
    <r>
      <rPr>
        <sz val="10"/>
        <color rgb="FF090A0A"/>
        <rFont val="游ゴシック体"/>
        <family val="2"/>
      </rPr>
      <t xml:space="preserve">性能・可用性・セキュリティ・運用・拡張性・外部連携・法令</t>
    </r>
    <r>
      <rPr>
        <sz val="10"/>
        <color rgb="FF090A0A"/>
        <rFont val="Noto Sans JP"/>
        <family val="0"/>
        <charset val="1"/>
      </rPr>
      <t xml:space="preserve">/</t>
    </r>
    <r>
      <rPr>
        <sz val="10"/>
        <color rgb="FF090A0A"/>
        <rFont val="游ゴシック体"/>
        <family val="2"/>
      </rPr>
      <t xml:space="preserve">ストア・分析の </t>
    </r>
    <r>
      <rPr>
        <sz val="10"/>
        <color rgb="FF090A0A"/>
        <rFont val="Noto Sans JP"/>
        <family val="0"/>
        <charset val="1"/>
      </rPr>
      <t xml:space="preserve">29 </t>
    </r>
    <r>
      <rPr>
        <sz val="10"/>
        <color rgb="FF090A0A"/>
        <rFont val="游ゴシック体"/>
        <family val="2"/>
      </rPr>
      <t xml:space="preserve">観点を、対象分野（アプリ</t>
    </r>
    <r>
      <rPr>
        <sz val="10"/>
        <color rgb="FF090A0A"/>
        <rFont val="Noto Sans JP"/>
        <family val="0"/>
        <charset val="1"/>
      </rPr>
      <t xml:space="preserve">/Web/API</t>
    </r>
    <r>
      <rPr>
        <sz val="10"/>
        <color rgb="FF090A0A"/>
        <rFont val="游ゴシック体"/>
        <family val="2"/>
      </rPr>
      <t xml:space="preserve">・サーバ</t>
    </r>
    <r>
      <rPr>
        <sz val="10"/>
        <color rgb="FF090A0A"/>
        <rFont val="Noto Sans JP"/>
        <family val="0"/>
        <charset val="1"/>
      </rPr>
      <t xml:space="preserve">/</t>
    </r>
    <r>
      <rPr>
        <sz val="10"/>
        <color rgb="FF090A0A"/>
        <rFont val="游ゴシック体"/>
        <family val="2"/>
      </rPr>
      <t xml:space="preserve">インフラ等）ごとに 対象</t>
    </r>
    <r>
      <rPr>
        <sz val="10"/>
        <color rgb="FF090A0A"/>
        <rFont val="Noto Sans JP"/>
        <family val="0"/>
        <charset val="1"/>
      </rPr>
      <t xml:space="preserve">/</t>
    </r>
    <r>
      <rPr>
        <sz val="10"/>
        <color rgb="FF090A0A"/>
        <rFont val="游ゴシック体"/>
        <family val="2"/>
      </rPr>
      <t xml:space="preserve">対象外</t>
    </r>
    <r>
      <rPr>
        <sz val="10"/>
        <color rgb="FF090A0A"/>
        <rFont val="Noto Sans JP"/>
        <family val="0"/>
        <charset val="1"/>
      </rPr>
      <t xml:space="preserve">/</t>
    </r>
    <r>
      <rPr>
        <sz val="10"/>
        <color rgb="FF090A0A"/>
        <rFont val="游ゴシック体"/>
        <family val="2"/>
      </rPr>
      <t xml:space="preserve">要確認 で判定するシート。「対象」にしたら見積明細に工数を積んで反映先を記入（未反映は赤くなる）。見積明細の 🔍 抜け漏れチェックと連動しており、未判定が残ると ⚠ が出ます。</t>
    </r>
  </si>
  <si>
    <t xml:space="preserve">🔍 抜け漏れチェック</t>
  </si>
  <si>
    <r>
      <rPr>
        <sz val="10"/>
        <color rgb="FF090A0A"/>
        <rFont val="游ゴシック体"/>
        <family val="2"/>
      </rPr>
      <t xml:space="preserve">「見積書」右側（社内グループ内）で、</t>
    </r>
    <r>
      <rPr>
        <sz val="10"/>
        <color rgb="FF090A0A"/>
        <rFont val="Noto Sans JP"/>
        <family val="0"/>
        <charset val="1"/>
      </rPr>
      <t xml:space="preserve">PM</t>
    </r>
    <r>
      <rPr>
        <sz val="10"/>
        <color rgb="FF090A0A"/>
        <rFont val="游ゴシック体"/>
        <family val="2"/>
      </rPr>
      <t xml:space="preserve">・テスト・リリース</t>
    </r>
    <r>
      <rPr>
        <sz val="10"/>
        <color rgb="FF090A0A"/>
        <rFont val="Noto Sans JP"/>
        <family val="0"/>
        <charset val="1"/>
      </rPr>
      <t xml:space="preserve">/</t>
    </r>
    <r>
      <rPr>
        <sz val="10"/>
        <color rgb="FF090A0A"/>
        <rFont val="游ゴシック体"/>
        <family val="2"/>
      </rPr>
      <t xml:space="preserve">ストア申請・非機能の計上を自動判定（</t>
    </r>
    <r>
      <rPr>
        <sz val="10"/>
        <color rgb="FF090A0A"/>
        <rFont val="Noto Sans JP"/>
        <family val="0"/>
        <charset val="1"/>
      </rPr>
      <t xml:space="preserve">Rule 2</t>
    </r>
    <r>
      <rPr>
        <sz val="10"/>
        <color rgb="FF090A0A"/>
        <rFont val="游ゴシック体"/>
        <family val="2"/>
      </rPr>
      <t xml:space="preserve">）。その下の「フェーズ</t>
    </r>
    <r>
      <rPr>
        <sz val="10"/>
        <color rgb="FF090A0A"/>
        <rFont val="Noto Sans JP"/>
        <family val="0"/>
        <charset val="1"/>
      </rPr>
      <t xml:space="preserve">×</t>
    </r>
    <r>
      <rPr>
        <sz val="10"/>
        <color rgb="FF090A0A"/>
        <rFont val="游ゴシック体"/>
        <family val="2"/>
      </rPr>
      <t xml:space="preserve">カテゴリ 工数マトリクス」で、空欄（＝工数ゼロ）の交点に抜けがないかを一目で確認できます。カテゴリ列はプルダウンから選択（自由入力も可）。</t>
    </r>
  </si>
  <si>
    <t xml:space="preserve">🔒 シート保護について</t>
  </si>
  <si>
    <t xml:space="preserve">数式セルは誤上書き防止のため保護しています（パスワード無し）。どうしても直したいときは「校閲 → シート保護の解除」。</t>
  </si>
  <si>
    <t xml:space="preserve">♻️ 作り直したいとき</t>
  </si>
  <si>
    <r>
      <rPr>
        <sz val="10"/>
        <color rgb="FF090A0A"/>
        <rFont val="游ゴシック体"/>
        <family val="2"/>
      </rPr>
      <t xml:space="preserve">このファイルは正本（</t>
    </r>
    <r>
      <rPr>
        <sz val="10"/>
        <color rgb="FF090A0A"/>
        <rFont val="Noto Sans JP"/>
        <family val="0"/>
        <charset val="1"/>
      </rPr>
      <t xml:space="preserve">estimate_master.md</t>
    </r>
    <r>
      <rPr>
        <sz val="10"/>
        <color rgb="FF090A0A"/>
        <rFont val="游ゴシック体"/>
        <family val="2"/>
      </rPr>
      <t xml:space="preserve">）から </t>
    </r>
    <r>
      <rPr>
        <sz val="10"/>
        <color rgb="FF090A0A"/>
        <rFont val="Noto Sans JP"/>
        <family val="0"/>
        <charset val="1"/>
      </rPr>
      <t xml:space="preserve">AI </t>
    </r>
    <r>
      <rPr>
        <sz val="10"/>
        <color rgb="FF090A0A"/>
        <rFont val="游ゴシック体"/>
        <family val="2"/>
      </rPr>
      <t xml:space="preserve">が生成しています。行の大量追加・フェーズ追加は、</t>
    </r>
    <r>
      <rPr>
        <sz val="10"/>
        <color rgb="FF090A0A"/>
        <rFont val="Noto Sans JP"/>
        <family val="0"/>
        <charset val="1"/>
      </rPr>
      <t xml:space="preserve">AI </t>
    </r>
    <r>
      <rPr>
        <sz val="10"/>
        <color rgb="FF090A0A"/>
        <rFont val="游ゴシック体"/>
        <family val="2"/>
      </rPr>
      <t xml:space="preserve">に「見積もり </t>
    </r>
    <r>
      <rPr>
        <sz val="10"/>
        <color rgb="FF090A0A"/>
        <rFont val="Noto Sans JP"/>
        <family val="0"/>
        <charset val="1"/>
      </rPr>
      <t xml:space="preserve">Excel </t>
    </r>
    <r>
      <rPr>
        <sz val="10"/>
        <color rgb="FF090A0A"/>
        <rFont val="游ゴシック体"/>
        <family val="2"/>
      </rPr>
      <t xml:space="preserve">を再生成して」と依頼するのが確実です。</t>
    </r>
  </si>
  <si>
    <r>
      <rPr>
        <b val="true"/>
        <sz val="14"/>
        <color rgb="FF090A0A"/>
        <rFont val="游ゴシック体"/>
        <family val="2"/>
      </rPr>
      <t xml:space="preserve">⚙ 見積もり設定（青いセルだけ変更すれば </t>
    </r>
    <r>
      <rPr>
        <b val="true"/>
        <sz val="14"/>
        <color rgb="FF090A0A"/>
        <rFont val="Noto Sans JP"/>
        <family val="0"/>
        <charset val="1"/>
      </rPr>
      <t xml:space="preserve">OK</t>
    </r>
    <r>
      <rPr>
        <b val="true"/>
        <sz val="14"/>
        <color rgb="FF090A0A"/>
        <rFont val="游ゴシック体"/>
        <family val="2"/>
      </rPr>
      <t xml:space="preserve">）</t>
    </r>
  </si>
  <si>
    <t xml:space="preserve">■ 案件情報</t>
  </si>
  <si>
    <t xml:space="preserve">案件名</t>
  </si>
  <si>
    <r>
      <rPr>
        <sz val="10"/>
        <color rgb="FF090A0A"/>
        <rFont val="游ゴシック体"/>
        <family val="2"/>
      </rPr>
      <t xml:space="preserve">○○アプリ </t>
    </r>
    <r>
      <rPr>
        <sz val="10"/>
        <color rgb="FF090A0A"/>
        <rFont val="Noto Sans JP"/>
        <family val="0"/>
        <charset val="1"/>
      </rPr>
      <t xml:space="preserve">/ </t>
    </r>
    <r>
      <rPr>
        <sz val="10"/>
        <color rgb="FF090A0A"/>
        <rFont val="游ゴシック体"/>
        <family val="2"/>
      </rPr>
      <t xml:space="preserve">システム開発（案件名に書き換え）</t>
    </r>
  </si>
  <si>
    <t xml:space="preserve">顧客名（宛先）</t>
  </si>
  <si>
    <t xml:space="preserve">株式会社○○</t>
  </si>
  <si>
    <t xml:space="preserve">作成日</t>
  </si>
  <si>
    <t xml:space="preserve">見積有効期限</t>
  </si>
  <si>
    <t xml:space="preserve">見積精度</t>
  </si>
  <si>
    <r>
      <rPr>
        <sz val="10"/>
        <color rgb="FF090A0A"/>
        <rFont val="游ゴシック体"/>
        <family val="2"/>
      </rPr>
      <t xml:space="preserve">概算 −</t>
    </r>
    <r>
      <rPr>
        <sz val="10"/>
        <color rgb="FF090A0A"/>
        <rFont val="Noto Sans JP"/>
        <family val="0"/>
        <charset val="1"/>
      </rPr>
      <t xml:space="preserve">20%</t>
    </r>
    <r>
      <rPr>
        <sz val="10"/>
        <color rgb="FF090A0A"/>
        <rFont val="游ゴシック体"/>
        <family val="2"/>
      </rPr>
      <t xml:space="preserve">〜</t>
    </r>
    <r>
      <rPr>
        <sz val="10"/>
        <color rgb="FF090A0A"/>
        <rFont val="Noto Sans JP"/>
        <family val="0"/>
        <charset val="1"/>
      </rPr>
      <t xml:space="preserve">+30%</t>
    </r>
  </si>
  <si>
    <t xml:space="preserve">バージョン</t>
  </si>
  <si>
    <t xml:space="preserve">1.0</t>
  </si>
  <si>
    <t xml:space="preserve">作成者 👤（社内用・提出物には出さない）</t>
  </si>
  <si>
    <t xml:space="preserve">（作成者名・社内用）</t>
  </si>
  <si>
    <r>
      <rPr>
        <b val="true"/>
        <sz val="10"/>
        <color rgb="FF090A0A"/>
        <rFont val="游ゴシック体"/>
        <family val="2"/>
      </rPr>
      <t xml:space="preserve">■ 係数・率（</t>
    </r>
    <r>
      <rPr>
        <b val="true"/>
        <sz val="10"/>
        <color rgb="FF090A0A"/>
        <rFont val="Noto Sans JP"/>
        <family val="0"/>
        <charset val="1"/>
      </rPr>
      <t xml:space="preserve">Rule 5: </t>
    </r>
    <r>
      <rPr>
        <b val="true"/>
        <sz val="10"/>
        <color rgb="FF090A0A"/>
        <rFont val="游ゴシック体"/>
        <family val="2"/>
      </rPr>
      <t xml:space="preserve">盛りと儲けを見える化）</t>
    </r>
  </si>
  <si>
    <r>
      <rPr>
        <sz val="10"/>
        <color rgb="FF090A0A"/>
        <rFont val="游ゴシック体"/>
        <family val="2"/>
      </rPr>
      <t xml:space="preserve">管理費率（</t>
    </r>
    <r>
      <rPr>
        <sz val="10"/>
        <color rgb="FF090A0A"/>
        <rFont val="Noto Sans JP"/>
        <family val="0"/>
        <charset val="1"/>
      </rPr>
      <t xml:space="preserve">PM</t>
    </r>
    <r>
      <rPr>
        <sz val="10"/>
        <color rgb="FF090A0A"/>
        <rFont val="游ゴシック体"/>
        <family val="2"/>
      </rPr>
      <t xml:space="preserve">費）</t>
    </r>
  </si>
  <si>
    <r>
      <rPr>
        <sz val="9"/>
        <color rgb="FF6C7072"/>
        <rFont val="游ゴシック体"/>
        <family val="2"/>
      </rPr>
      <t xml:space="preserve">フェーズ費用に掛ける率。標準 </t>
    </r>
    <r>
      <rPr>
        <sz val="9"/>
        <color rgb="FF6C7072"/>
        <rFont val="Noto Sans JP"/>
        <family val="0"/>
        <charset val="1"/>
      </rPr>
      <t xml:space="preserve">20</t>
    </r>
    <r>
      <rPr>
        <sz val="9"/>
        <color rgb="FF6C7072"/>
        <rFont val="游ゴシック体"/>
        <family val="2"/>
      </rPr>
      <t xml:space="preserve">〜</t>
    </r>
    <r>
      <rPr>
        <sz val="9"/>
        <color rgb="FF6C7072"/>
        <rFont val="Noto Sans JP"/>
        <family val="0"/>
        <charset val="1"/>
      </rPr>
      <t xml:space="preserve">30%</t>
    </r>
    <r>
      <rPr>
        <sz val="9"/>
        <color rgb="FF6C7072"/>
        <rFont val="游ゴシック体"/>
        <family val="2"/>
      </rPr>
      <t xml:space="preserve">（</t>
    </r>
    <r>
      <rPr>
        <sz val="9"/>
        <color rgb="FF6C7072"/>
        <rFont val="Noto Sans JP"/>
        <family val="0"/>
        <charset val="1"/>
      </rPr>
      <t xml:space="preserve">pricing_and_rates.md</t>
    </r>
    <r>
      <rPr>
        <sz val="9"/>
        <color rgb="FF6C7072"/>
        <rFont val="游ゴシック体"/>
        <family val="2"/>
      </rPr>
      <t xml:space="preserve">）</t>
    </r>
  </si>
  <si>
    <t xml:space="preserve">バッファ係数</t>
  </si>
  <si>
    <r>
      <rPr>
        <sz val="9"/>
        <color rgb="FF6C7072"/>
        <rFont val="游ゴシック体"/>
        <family val="2"/>
      </rPr>
      <t xml:space="preserve">予備工数の係数。標準 </t>
    </r>
    <r>
      <rPr>
        <sz val="9"/>
        <color rgb="FF6C7072"/>
        <rFont val="Noto Sans JP"/>
        <family val="0"/>
        <charset val="1"/>
      </rPr>
      <t xml:space="preserve">1.2x</t>
    </r>
  </si>
  <si>
    <t xml:space="preserve">提示金額にバッファを適用</t>
  </si>
  <si>
    <t xml:space="preserve">－</t>
  </si>
  <si>
    <t xml:space="preserve">✓ にすると提示額（税抜）に係数分を上乗せ。－ なら精度レンジで吸収</t>
  </si>
  <si>
    <t xml:space="preserve">消費税率</t>
  </si>
  <si>
    <r>
      <rPr>
        <sz val="9"/>
        <color rgb="FF6C7072"/>
        <rFont val="游ゴシック体"/>
        <family val="2"/>
      </rPr>
      <t xml:space="preserve">標準 </t>
    </r>
    <r>
      <rPr>
        <sz val="9"/>
        <color rgb="FF6C7072"/>
        <rFont val="Noto Sans JP"/>
        <family val="0"/>
        <charset val="1"/>
      </rPr>
      <t xml:space="preserve">10%</t>
    </r>
  </si>
  <si>
    <r>
      <rPr>
        <sz val="10"/>
        <color rgb="FF090A0A"/>
        <rFont val="游ゴシック体"/>
        <family val="2"/>
      </rPr>
      <t xml:space="preserve">営業日</t>
    </r>
    <r>
      <rPr>
        <sz val="10"/>
        <color rgb="FF090A0A"/>
        <rFont val="Noto Sans JP"/>
        <family val="0"/>
        <charset val="1"/>
      </rPr>
      <t xml:space="preserve">/</t>
    </r>
    <r>
      <rPr>
        <sz val="10"/>
        <color rgb="FF090A0A"/>
        <rFont val="游ゴシック体"/>
        <family val="2"/>
      </rPr>
      <t xml:space="preserve">月</t>
    </r>
  </si>
  <si>
    <t xml:space="preserve">人月換算・スケジュールで使用</t>
  </si>
  <si>
    <t xml:space="preserve">値引き（税抜・正の数で入力）</t>
  </si>
  <si>
    <t xml:space="preserve">第一候補は値引きでなくスコープ調整（計上チェックを － に）</t>
  </si>
  <si>
    <t xml:space="preserve">体制維持費率（任意）</t>
  </si>
  <si>
    <r>
      <rPr>
        <sz val="9"/>
        <color rgb="FF6C7072"/>
        <rFont val="游ゴシック体"/>
        <family val="2"/>
      </rPr>
      <t xml:space="preserve">体制を確保して請ける場合に小計へ上乗せする率（例 </t>
    </r>
    <r>
      <rPr>
        <sz val="9"/>
        <color rgb="FF6C7072"/>
        <rFont val="Noto Sans JP"/>
        <family val="0"/>
        <charset val="1"/>
      </rPr>
      <t xml:space="preserve">5%</t>
    </r>
    <r>
      <rPr>
        <sz val="9"/>
        <color rgb="FF6C7072"/>
        <rFont val="游ゴシック体"/>
        <family val="2"/>
      </rPr>
      <t xml:space="preserve">）。不要なら </t>
    </r>
    <r>
      <rPr>
        <sz val="9"/>
        <color rgb="FF6C7072"/>
        <rFont val="Noto Sans JP"/>
        <family val="0"/>
        <charset val="1"/>
      </rPr>
      <t xml:space="preserve">0%</t>
    </r>
  </si>
  <si>
    <r>
      <rPr>
        <b val="true"/>
        <sz val="10"/>
        <color rgb="FF090A0A"/>
        <rFont val="游ゴシック体"/>
        <family val="2"/>
      </rPr>
      <t xml:space="preserve">■ 単価表（役割別・円</t>
    </r>
    <r>
      <rPr>
        <b val="true"/>
        <sz val="10"/>
        <color rgb="FF090A0A"/>
        <rFont val="Noto Sans JP"/>
        <family val="0"/>
        <charset val="1"/>
      </rPr>
      <t xml:space="preserve">/</t>
    </r>
    <r>
      <rPr>
        <b val="true"/>
        <sz val="10"/>
        <color rgb="FF090A0A"/>
        <rFont val="游ゴシック体"/>
        <family val="2"/>
      </rPr>
      <t xml:space="preserve">人日）</t>
    </r>
  </si>
  <si>
    <r>
      <rPr>
        <sz val="9"/>
        <color rgb="FF6C7072"/>
        <rFont val="游ゴシック体"/>
        <family val="2"/>
      </rPr>
      <t xml:space="preserve">社内単価＝原価（👤社内限り・</t>
    </r>
    <r>
      <rPr>
        <sz val="9"/>
        <color rgb="FF6C7072"/>
        <rFont val="Noto Sans JP"/>
        <family val="0"/>
        <charset val="1"/>
      </rPr>
      <t xml:space="preserve">Rule 10</t>
    </r>
    <r>
      <rPr>
        <sz val="9"/>
        <color rgb="FF6C7072"/>
        <rFont val="游ゴシック体"/>
        <family val="2"/>
      </rPr>
      <t xml:space="preserve">）。⚠ 初期値は暫定 — 案件・経理の基準で必ず見直す</t>
    </r>
  </si>
  <si>
    <t xml:space="preserve">役割キー</t>
  </si>
  <si>
    <t xml:space="preserve">役割名</t>
  </si>
  <si>
    <t xml:space="preserve">社内単価 👤</t>
  </si>
  <si>
    <t xml:space="preserve">社外単価</t>
  </si>
  <si>
    <r>
      <rPr>
        <b val="true"/>
        <sz val="10"/>
        <color rgb="FFFFFFFF"/>
        <rFont val="游ゴシック体"/>
        <family val="2"/>
      </rPr>
      <t xml:space="preserve">人月換算</t>
    </r>
    <r>
      <rPr>
        <b val="true"/>
        <sz val="10"/>
        <color rgb="FFFFFFFF"/>
        <rFont val="Noto Sans JP"/>
        <family val="0"/>
        <charset val="1"/>
      </rPr>
      <t xml:space="preserve">(</t>
    </r>
    <r>
      <rPr>
        <b val="true"/>
        <sz val="10"/>
        <color rgb="FFFFFFFF"/>
        <rFont val="游ゴシック体"/>
        <family val="2"/>
      </rPr>
      <t xml:space="preserve">社外</t>
    </r>
    <r>
      <rPr>
        <b val="true"/>
        <sz val="10"/>
        <color rgb="FFFFFFFF"/>
        <rFont val="Noto Sans JP"/>
        <family val="0"/>
        <charset val="1"/>
      </rPr>
      <t xml:space="preserve">)</t>
    </r>
  </si>
  <si>
    <t xml:space="preserve">粗利率 👤</t>
  </si>
  <si>
    <r>
      <rPr>
        <sz val="9"/>
        <color rgb="FF6C7072"/>
        <rFont val="游ゴシック体"/>
        <family val="2"/>
      </rPr>
      <t xml:space="preserve">⚠ 役割キー（</t>
    </r>
    <r>
      <rPr>
        <sz val="9"/>
        <color rgb="FF6C7072"/>
        <rFont val="Noto Sans JP"/>
        <family val="0"/>
        <charset val="1"/>
      </rPr>
      <t xml:space="preserve">A</t>
    </r>
    <r>
      <rPr>
        <sz val="9"/>
        <color rgb="FF6C7072"/>
        <rFont val="游ゴシック体"/>
        <family val="2"/>
      </rPr>
      <t xml:space="preserve">列）は見積明細の「担当」と連動。既存キーは変更しない（表示名を変えたいときは </t>
    </r>
    <r>
      <rPr>
        <sz val="9"/>
        <color rgb="FF6C7072"/>
        <rFont val="Noto Sans JP"/>
        <family val="0"/>
        <charset val="1"/>
      </rPr>
      <t xml:space="preserve">B </t>
    </r>
    <r>
      <rPr>
        <sz val="9"/>
        <color rgb="FF6C7072"/>
        <rFont val="游ゴシック体"/>
        <family val="2"/>
      </rPr>
      <t xml:space="preserve">列を編集）</t>
    </r>
  </si>
  <si>
    <t xml:space="preserve">PM</t>
  </si>
  <si>
    <t xml:space="preserve">プロジェクトマネージャー</t>
  </si>
  <si>
    <t xml:space="preserve">Dir</t>
  </si>
  <si>
    <t xml:space="preserve">ディレクター</t>
  </si>
  <si>
    <t xml:space="preserve">SE</t>
  </si>
  <si>
    <t xml:space="preserve">システムエンジニア</t>
  </si>
  <si>
    <t xml:space="preserve">デザイナー</t>
  </si>
  <si>
    <r>
      <rPr>
        <sz val="10"/>
        <color rgb="FF090A0A"/>
        <rFont val="Noto Sans JP"/>
        <family val="0"/>
        <charset val="1"/>
      </rPr>
      <t xml:space="preserve">UI/UX</t>
    </r>
    <r>
      <rPr>
        <sz val="10"/>
        <color rgb="FF090A0A"/>
        <rFont val="游ゴシック体"/>
        <family val="2"/>
      </rPr>
      <t xml:space="preserve">デザイナー</t>
    </r>
  </si>
  <si>
    <t xml:space="preserve">アプリ</t>
  </si>
  <si>
    <t xml:space="preserve">アプリエンジニア（国内）</t>
  </si>
  <si>
    <t xml:space="preserve">フロントエンド</t>
  </si>
  <si>
    <t xml:space="preserve">フロントエンドエンジニア</t>
  </si>
  <si>
    <t xml:space="preserve">バックエンド</t>
  </si>
  <si>
    <t xml:space="preserve">バックエンドエンジニア</t>
  </si>
  <si>
    <t xml:space="preserve">オフショア</t>
  </si>
  <si>
    <t xml:space="preserve">オフショア開発</t>
  </si>
  <si>
    <t xml:space="preserve">QC</t>
  </si>
  <si>
    <t xml:space="preserve">テスト・検証</t>
  </si>
  <si>
    <t xml:space="preserve">※ 行が足りなければ空行に役割を追記（見積明細の担当プルダウンに自動反映）。</t>
  </si>
  <si>
    <r>
      <rPr>
        <b val="true"/>
        <sz val="10"/>
        <color rgb="FF090A0A"/>
        <rFont val="游ゴシック体"/>
        <family val="2"/>
      </rPr>
      <t xml:space="preserve">■ 更新履歴（版管理</t>
    </r>
    <r>
      <rPr>
        <b val="true"/>
        <sz val="10"/>
        <color rgb="FF090A0A"/>
        <rFont val="Noto Sans JP"/>
        <family val="0"/>
        <charset val="1"/>
      </rPr>
      <t xml:space="preserve">: </t>
    </r>
    <r>
      <rPr>
        <b val="true"/>
        <sz val="10"/>
        <color rgb="FF090A0A"/>
        <rFont val="游ゴシック体"/>
        <family val="2"/>
      </rPr>
      <t xml:space="preserve">金額や前提を変えたら </t>
    </r>
    <r>
      <rPr>
        <b val="true"/>
        <sz val="10"/>
        <color rgb="FF090A0A"/>
        <rFont val="Noto Sans JP"/>
        <family val="0"/>
        <charset val="1"/>
      </rPr>
      <t xml:space="preserve">1 </t>
    </r>
    <r>
      <rPr>
        <b val="true"/>
        <sz val="10"/>
        <color rgb="FF090A0A"/>
        <rFont val="游ゴシック体"/>
        <family val="2"/>
      </rPr>
      <t xml:space="preserve">行残す）</t>
    </r>
  </si>
  <si>
    <t xml:space="preserve">日付</t>
  </si>
  <si>
    <t xml:space="preserve">版</t>
  </si>
  <si>
    <t xml:space="preserve">担当</t>
  </si>
  <si>
    <t xml:space="preserve">変更内容</t>
  </si>
  <si>
    <r>
      <rPr>
        <sz val="10"/>
        <color rgb="FF090A0A"/>
        <rFont val="游ゴシック体"/>
        <family val="2"/>
      </rPr>
      <t xml:space="preserve">初版作成（</t>
    </r>
    <r>
      <rPr>
        <sz val="10"/>
        <color rgb="FF090A0A"/>
        <rFont val="Noto Sans JP"/>
        <family val="0"/>
        <charset val="1"/>
      </rPr>
      <t xml:space="preserve">AI </t>
    </r>
    <r>
      <rPr>
        <sz val="10"/>
        <color rgb="FF090A0A"/>
        <rFont val="游ゴシック体"/>
        <family val="2"/>
      </rPr>
      <t xml:space="preserve">生成）</t>
    </r>
  </si>
  <si>
    <r>
      <rPr>
        <b val="true"/>
        <sz val="10"/>
        <color rgb="FF0066FF"/>
        <rFont val="游ゴシック体"/>
        <family val="2"/>
      </rPr>
      <t xml:space="preserve">⏭ 次にやること</t>
    </r>
    <r>
      <rPr>
        <b val="true"/>
        <sz val="10"/>
        <color rgb="FF0066FF"/>
        <rFont val="Noto Sans JP"/>
        <family val="0"/>
        <charset val="1"/>
      </rPr>
      <t xml:space="preserve">: </t>
    </r>
    <r>
      <rPr>
        <b val="true"/>
        <sz val="10"/>
        <color rgb="FF0066FF"/>
        <rFont val="游ゴシック体"/>
        <family val="2"/>
      </rPr>
      <t xml:space="preserve">設定が埋まったら「前提条件」→「見積書」シートへ（青セル以外は自動計算）</t>
    </r>
  </si>
  <si>
    <r>
      <rPr>
        <b val="true"/>
        <sz val="14"/>
        <color rgb="FF090A0A"/>
        <rFont val="游ゴシック体"/>
        <family val="2"/>
      </rPr>
      <t xml:space="preserve">📋 前提条件・スコープ（</t>
    </r>
    <r>
      <rPr>
        <b val="true"/>
        <sz val="14"/>
        <color rgb="FF090A0A"/>
        <rFont val="Noto Sans JP"/>
        <family val="0"/>
        <charset val="1"/>
      </rPr>
      <t xml:space="preserve">Rule 3: </t>
    </r>
    <r>
      <rPr>
        <b val="true"/>
        <sz val="14"/>
        <color rgb="FF090A0A"/>
        <rFont val="游ゴシック体"/>
        <family val="2"/>
      </rPr>
      <t xml:space="preserve">この金額の前提。外れたら別途お見積もり）</t>
    </r>
  </si>
  <si>
    <r>
      <rPr>
        <sz val="9"/>
        <color rgb="FF6C7072"/>
        <rFont val="游ゴシック体"/>
        <family val="2"/>
      </rPr>
      <t xml:space="preserve">青いセルを必ず埋める（</t>
    </r>
    <r>
      <rPr>
        <sz val="9"/>
        <color rgb="FF6C7072"/>
        <rFont val="Noto Sans JP"/>
        <family val="0"/>
        <charset val="1"/>
      </rPr>
      <t xml:space="preserve">AI </t>
    </r>
    <r>
      <rPr>
        <sz val="9"/>
        <color rgb="FF6C7072"/>
        <rFont val="游ゴシック体"/>
        <family val="2"/>
      </rPr>
      <t xml:space="preserve">に依頼して埋めても </t>
    </r>
    <r>
      <rPr>
        <sz val="9"/>
        <color rgb="FF6C7072"/>
        <rFont val="Noto Sans JP"/>
        <family val="0"/>
        <charset val="1"/>
      </rPr>
      <t xml:space="preserve">OK</t>
    </r>
    <r>
      <rPr>
        <sz val="9"/>
        <color rgb="FF6C7072"/>
        <rFont val="游ゴシック体"/>
        <family val="2"/>
      </rPr>
      <t xml:space="preserve">）。顧客説明ではまずこのシートを提示します。特に「対象外」が空だと、後から「それも含まれていると思った」トラブルになります。</t>
    </r>
  </si>
  <si>
    <t xml:space="preserve">■ 見積根拠（何を基に見積もったか）</t>
  </si>
  <si>
    <r>
      <rPr>
        <sz val="10"/>
        <color rgb="FF090A0A"/>
        <rFont val="游ゴシック体"/>
        <family val="2"/>
      </rPr>
      <t xml:space="preserve">お客様ご提供の資料（</t>
    </r>
    <r>
      <rPr>
        <sz val="10"/>
        <color rgb="FF090A0A"/>
        <rFont val="Noto Sans JP"/>
        <family val="0"/>
        <charset val="1"/>
      </rPr>
      <t xml:space="preserve">RFP</t>
    </r>
    <r>
      <rPr>
        <sz val="10"/>
        <color rgb="FF090A0A"/>
        <rFont val="游ゴシック体"/>
        <family val="2"/>
      </rPr>
      <t xml:space="preserve">・機能要望・画面イメージ 等 </t>
    </r>
    <r>
      <rPr>
        <sz val="10"/>
        <color rgb="FF090A0A"/>
        <rFont val="Noto Sans JP"/>
        <family val="0"/>
        <charset val="1"/>
      </rPr>
      <t xml:space="preserve">/ YYYY-MM-DD </t>
    </r>
    <r>
      <rPr>
        <sz val="10"/>
        <color rgb="FF090A0A"/>
        <rFont val="游ゴシック体"/>
        <family val="2"/>
      </rPr>
      <t xml:space="preserve">受領）※受領物に書き換え</t>
    </r>
  </si>
  <si>
    <t xml:space="preserve">■ 対応範囲（この見積もりに含む工程）</t>
  </si>
  <si>
    <r>
      <rPr>
        <sz val="10"/>
        <color rgb="FF090A0A"/>
        <rFont val="游ゴシック体"/>
        <family val="2"/>
      </rPr>
      <t xml:space="preserve">要件定義 ／ デザイン ／ 設計 ／ 開発 ／ テスト ／ リリース（</t>
    </r>
    <r>
      <rPr>
        <sz val="10"/>
        <color rgb="FF090A0A"/>
        <rFont val="Noto Sans JP"/>
        <family val="0"/>
        <charset val="1"/>
      </rPr>
      <t xml:space="preserve">PM</t>
    </r>
    <r>
      <rPr>
        <sz val="10"/>
        <color rgb="FF090A0A"/>
        <rFont val="游ゴシック体"/>
        <family val="2"/>
      </rPr>
      <t xml:space="preserve">・全体管理を含む）</t>
    </r>
  </si>
  <si>
    <r>
      <rPr>
        <b val="true"/>
        <sz val="10"/>
        <color rgb="FF090A0A"/>
        <rFont val="游ゴシック体"/>
        <family val="2"/>
      </rPr>
      <t xml:space="preserve">■ 対象外（</t>
    </r>
    <r>
      <rPr>
        <b val="true"/>
        <sz val="10"/>
        <color rgb="FF090A0A"/>
        <rFont val="Noto Sans JP"/>
        <family val="0"/>
        <charset val="1"/>
      </rPr>
      <t xml:space="preserve">Out of Scope — </t>
    </r>
    <r>
      <rPr>
        <b val="true"/>
        <sz val="10"/>
        <color rgb="FF090A0A"/>
        <rFont val="游ゴシック体"/>
        <family val="2"/>
      </rPr>
      <t xml:space="preserve">やらないこと）</t>
    </r>
  </si>
  <si>
    <t xml:space="preserve">運用・保守（別途契約）</t>
  </si>
  <si>
    <t xml:space="preserve">サーバ・ドメイン・ストアアカウント等の実費（お客様ご負担）</t>
  </si>
  <si>
    <r>
      <rPr>
        <sz val="10"/>
        <color rgb="FF090A0A"/>
        <rFont val="游ゴシック体"/>
        <family val="2"/>
      </rPr>
      <t xml:space="preserve">既存システム側の改修（連携 </t>
    </r>
    <r>
      <rPr>
        <sz val="10"/>
        <color rgb="FF090A0A"/>
        <rFont val="Noto Sans JP"/>
        <family val="0"/>
        <charset val="1"/>
      </rPr>
      <t xml:space="preserve">API </t>
    </r>
    <r>
      <rPr>
        <sz val="10"/>
        <color rgb="FF090A0A"/>
        <rFont val="游ゴシック体"/>
        <family val="2"/>
      </rPr>
      <t xml:space="preserve">の追加を除く）</t>
    </r>
  </si>
  <si>
    <t xml:space="preserve">コンテンツ制作・初期データ投入</t>
  </si>
  <si>
    <t xml:space="preserve">多言語対応（ご要望があれば別途お見積もり）</t>
  </si>
  <si>
    <t xml:space="preserve">■ 契約形態</t>
  </si>
  <si>
    <t xml:space="preserve">請負</t>
  </si>
  <si>
    <r>
      <rPr>
        <b val="true"/>
        <sz val="10"/>
        <color rgb="FF090A0A"/>
        <rFont val="游ゴシック体"/>
        <family val="2"/>
      </rPr>
      <t xml:space="preserve">■ 環境（対応 </t>
    </r>
    <r>
      <rPr>
        <b val="true"/>
        <sz val="10"/>
        <color rgb="FF090A0A"/>
        <rFont val="Noto Sans JP"/>
        <family val="0"/>
        <charset val="1"/>
      </rPr>
      <t xml:space="preserve">OS</t>
    </r>
    <r>
      <rPr>
        <b val="true"/>
        <sz val="10"/>
        <color rgb="FF090A0A"/>
        <rFont val="游ゴシック体"/>
        <family val="2"/>
      </rPr>
      <t xml:space="preserve">・端末・ブラウザ・言語）</t>
    </r>
  </si>
  <si>
    <r>
      <rPr>
        <sz val="10"/>
        <color rgb="FF090A0A"/>
        <rFont val="Noto Sans JP"/>
        <family val="0"/>
        <charset val="1"/>
      </rPr>
      <t xml:space="preserve">iOS / Android </t>
    </r>
    <r>
      <rPr>
        <sz val="10"/>
        <color rgb="FF090A0A"/>
        <rFont val="游ゴシック体"/>
        <family val="2"/>
      </rPr>
      <t xml:space="preserve">各直近 </t>
    </r>
    <r>
      <rPr>
        <sz val="10"/>
        <color rgb="FF090A0A"/>
        <rFont val="Noto Sans JP"/>
        <family val="0"/>
        <charset val="1"/>
      </rPr>
      <t xml:space="preserve">2 </t>
    </r>
    <r>
      <rPr>
        <sz val="10"/>
        <color rgb="FF090A0A"/>
        <rFont val="游ゴシック体"/>
        <family val="2"/>
      </rPr>
      <t xml:space="preserve">世代・主要端末（</t>
    </r>
    <r>
      <rPr>
        <sz val="10"/>
        <color rgb="FF090A0A"/>
        <rFont val="Noto Sans JP"/>
        <family val="0"/>
        <charset val="1"/>
      </rPr>
      <t xml:space="preserve">Web </t>
    </r>
    <r>
      <rPr>
        <sz val="10"/>
        <color rgb="FF090A0A"/>
        <rFont val="游ゴシック体"/>
        <family val="2"/>
      </rPr>
      <t xml:space="preserve">の場合は主要ブラウザ最新版）</t>
    </r>
  </si>
  <si>
    <r>
      <rPr>
        <sz val="10"/>
        <color rgb="FF090A0A"/>
        <rFont val="游ゴシック体"/>
        <family val="2"/>
      </rPr>
      <t xml:space="preserve">デザインツール</t>
    </r>
    <r>
      <rPr>
        <sz val="10"/>
        <color rgb="FF090A0A"/>
        <rFont val="Noto Sans JP"/>
        <family val="0"/>
        <charset val="1"/>
      </rPr>
      <t xml:space="preserve">: Figma</t>
    </r>
  </si>
  <si>
    <t xml:space="preserve">■ 納品物</t>
  </si>
  <si>
    <r>
      <rPr>
        <sz val="10"/>
        <color rgb="FF090A0A"/>
        <rFont val="游ゴシック体"/>
        <family val="2"/>
      </rPr>
      <t xml:space="preserve">要件定義書・画面仕様書・テスト結果報告書・ビルド成果物（</t>
    </r>
    <r>
      <rPr>
        <sz val="10"/>
        <color rgb="FF090A0A"/>
        <rFont val="Noto Sans JP"/>
        <family val="0"/>
        <charset val="1"/>
      </rPr>
      <t xml:space="preserve">ipa / apk</t>
    </r>
    <r>
      <rPr>
        <sz val="10"/>
        <color rgb="FF090A0A"/>
        <rFont val="游ゴシック体"/>
        <family val="2"/>
      </rPr>
      <t xml:space="preserve">）※納品形態に合わせ調整</t>
    </r>
  </si>
  <si>
    <t xml:space="preserve">■ 検収条件</t>
  </si>
  <si>
    <r>
      <rPr>
        <sz val="10"/>
        <color rgb="FF090A0A"/>
        <rFont val="游ゴシック体"/>
        <family val="2"/>
      </rPr>
      <t xml:space="preserve">納品後 </t>
    </r>
    <r>
      <rPr>
        <sz val="10"/>
        <color rgb="FF090A0A"/>
        <rFont val="Noto Sans JP"/>
        <family val="0"/>
        <charset val="1"/>
      </rPr>
      <t xml:space="preserve">10 </t>
    </r>
    <r>
      <rPr>
        <sz val="10"/>
        <color rgb="FF090A0A"/>
        <rFont val="游ゴシック体"/>
        <family val="2"/>
      </rPr>
      <t xml:space="preserve">営業日以内に検収</t>
    </r>
  </si>
  <si>
    <t xml:space="preserve">■ ソースコードの扱い</t>
  </si>
  <si>
    <t xml:space="preserve">原則非納品（要協議）</t>
  </si>
  <si>
    <t xml:space="preserve">■ その他の前提</t>
  </si>
  <si>
    <t xml:space="preserve">ここに示す前提から異なる場合は、別途お見積もりが必要となります。</t>
  </si>
  <si>
    <r>
      <rPr>
        <b val="true"/>
        <sz val="10"/>
        <color rgb="FF0066FF"/>
        <rFont val="游ゴシック体"/>
        <family val="2"/>
      </rPr>
      <t xml:space="preserve">⏭ 次にやること</t>
    </r>
    <r>
      <rPr>
        <b val="true"/>
        <sz val="10"/>
        <color rgb="FF0066FF"/>
        <rFont val="Noto Sans JP"/>
        <family val="0"/>
        <charset val="1"/>
      </rPr>
      <t xml:space="preserve">: </t>
    </r>
    <r>
      <rPr>
        <b val="true"/>
        <sz val="10"/>
        <color rgb="FF0066FF"/>
        <rFont val="游ゴシック体"/>
        <family val="2"/>
      </rPr>
      <t xml:space="preserve">全セクションを埋めたら「見積書」へ。対象外に迷ったら </t>
    </r>
    <r>
      <rPr>
        <b val="true"/>
        <sz val="10"/>
        <color rgb="FF0066FF"/>
        <rFont val="Noto Sans JP"/>
        <family val="0"/>
        <charset val="1"/>
      </rPr>
      <t xml:space="preserve">AI </t>
    </r>
    <r>
      <rPr>
        <b val="true"/>
        <sz val="10"/>
        <color rgb="FF0066FF"/>
        <rFont val="游ゴシック体"/>
        <family val="2"/>
      </rPr>
      <t xml:space="preserve">に「この案件の対象外の候補を挙げて」と依頼</t>
    </r>
  </si>
  <si>
    <r>
      <rPr>
        <sz val="9"/>
        <color rgb="FF6C7072"/>
        <rFont val="游ゴシック体"/>
        <family val="2"/>
      </rPr>
      <t xml:space="preserve">このシートは見積書と自動連携。顧客提出は印刷範囲 </t>
    </r>
    <r>
      <rPr>
        <sz val="9"/>
        <color rgb="FF6C7072"/>
        <rFont val="Noto Sans JP"/>
        <family val="0"/>
        <charset val="1"/>
      </rPr>
      <t xml:space="preserve">A:D</t>
    </r>
    <r>
      <rPr>
        <sz val="9"/>
        <color rgb="FF6C7072"/>
        <rFont val="游ゴシック体"/>
        <family val="2"/>
      </rPr>
      <t xml:space="preserve">（</t>
    </r>
    <r>
      <rPr>
        <sz val="9"/>
        <color rgb="FF6C7072"/>
        <rFont val="Noto Sans JP"/>
        <family val="0"/>
        <charset val="1"/>
      </rPr>
      <t xml:space="preserve">F </t>
    </r>
    <r>
      <rPr>
        <sz val="9"/>
        <color rgb="FF6C7072"/>
        <rFont val="游ゴシック体"/>
        <family val="2"/>
      </rPr>
      <t xml:space="preserve">列＝社内金額・利益率は折りたたみ／出力外）。</t>
    </r>
  </si>
  <si>
    <t xml:space="preserve">📋 案件概要</t>
  </si>
  <si>
    <t xml:space="preserve">宛先</t>
  </si>
  <si>
    <t xml:space="preserve">契約形態</t>
  </si>
  <si>
    <t xml:space="preserve">対応範囲</t>
  </si>
  <si>
    <t xml:space="preserve">主な対象外</t>
  </si>
  <si>
    <r>
      <rPr>
        <b val="true"/>
        <sz val="10"/>
        <color rgb="FF090A0A"/>
        <rFont val="游ゴシック体"/>
        <family val="2"/>
      </rPr>
      <t xml:space="preserve">作成日 </t>
    </r>
    <r>
      <rPr>
        <b val="true"/>
        <sz val="10"/>
        <color rgb="FF090A0A"/>
        <rFont val="Noto Sans JP"/>
        <family val="0"/>
        <charset val="1"/>
      </rPr>
      <t xml:space="preserve">/ </t>
    </r>
    <r>
      <rPr>
        <b val="true"/>
        <sz val="10"/>
        <color rgb="FF090A0A"/>
        <rFont val="游ゴシック体"/>
        <family val="2"/>
      </rPr>
      <t xml:space="preserve">有効期限</t>
    </r>
  </si>
  <si>
    <t xml:space="preserve">📊 お見積もりサマリ（見積書と自動連携）</t>
  </si>
  <si>
    <r>
      <rPr>
        <sz val="9"/>
        <color rgb="FF6C7072"/>
        <rFont val="游ゴシック体"/>
        <family val="2"/>
      </rPr>
      <t xml:space="preserve">👤 社内金額・利益率は社内限り（</t>
    </r>
    <r>
      <rPr>
        <sz val="9"/>
        <color rgb="FF6C7072"/>
        <rFont val="Noto Sans JP"/>
        <family val="0"/>
        <charset val="1"/>
      </rPr>
      <t xml:space="preserve">Rule 10</t>
    </r>
    <r>
      <rPr>
        <sz val="9"/>
        <color rgb="FF6C7072"/>
        <rFont val="游ゴシック体"/>
        <family val="2"/>
      </rPr>
      <t xml:space="preserve">）</t>
    </r>
  </si>
  <si>
    <t xml:space="preserve">区分</t>
  </si>
  <si>
    <r>
      <rPr>
        <b val="true"/>
        <sz val="10"/>
        <color rgb="FFFFFFFF"/>
        <rFont val="游ゴシック体"/>
        <family val="2"/>
      </rPr>
      <t xml:space="preserve">工数</t>
    </r>
    <r>
      <rPr>
        <b val="true"/>
        <sz val="10"/>
        <color rgb="FFFFFFFF"/>
        <rFont val="Noto Sans JP"/>
        <family val="0"/>
        <charset val="1"/>
      </rPr>
      <t xml:space="preserve">(</t>
    </r>
    <r>
      <rPr>
        <b val="true"/>
        <sz val="10"/>
        <color rgb="FFFFFFFF"/>
        <rFont val="游ゴシック体"/>
        <family val="2"/>
      </rPr>
      <t xml:space="preserve">人日</t>
    </r>
    <r>
      <rPr>
        <b val="true"/>
        <sz val="10"/>
        <color rgb="FFFFFFFF"/>
        <rFont val="Noto Sans JP"/>
        <family val="0"/>
        <charset val="1"/>
      </rPr>
      <t xml:space="preserve">)</t>
    </r>
  </si>
  <si>
    <r>
      <rPr>
        <b val="true"/>
        <sz val="10"/>
        <color rgb="FFFFFFFF"/>
        <rFont val="游ゴシック体"/>
        <family val="2"/>
      </rPr>
      <t xml:space="preserve">金額</t>
    </r>
    <r>
      <rPr>
        <b val="true"/>
        <sz val="10"/>
        <color rgb="FFFFFFFF"/>
        <rFont val="Noto Sans JP"/>
        <family val="0"/>
        <charset val="1"/>
      </rPr>
      <t xml:space="preserve">(</t>
    </r>
    <r>
      <rPr>
        <b val="true"/>
        <sz val="10"/>
        <color rgb="FFFFFFFF"/>
        <rFont val="游ゴシック体"/>
        <family val="2"/>
      </rPr>
      <t xml:space="preserve">税抜</t>
    </r>
    <r>
      <rPr>
        <b val="true"/>
        <sz val="10"/>
        <color rgb="FFFFFFFF"/>
        <rFont val="Noto Sans JP"/>
        <family val="0"/>
        <charset val="1"/>
      </rPr>
      <t xml:space="preserve">)</t>
    </r>
  </si>
  <si>
    <t xml:space="preserve">社内金額 👤</t>
  </si>
  <si>
    <t xml:space="preserve">利益率 👤</t>
  </si>
  <si>
    <t xml:space="preserve">プロジェクト全体</t>
  </si>
  <si>
    <t xml:space="preserve">要件定義</t>
  </si>
  <si>
    <t xml:space="preserve">デザイン</t>
  </si>
  <si>
    <t xml:space="preserve">設計</t>
  </si>
  <si>
    <t xml:space="preserve">開発</t>
  </si>
  <si>
    <t xml:space="preserve">テスト</t>
  </si>
  <si>
    <t xml:space="preserve">リリース</t>
  </si>
  <si>
    <t xml:space="preserve">明細小計（社外）</t>
  </si>
  <si>
    <t xml:space="preserve">リスクバッファ（適用時のみ）</t>
  </si>
  <si>
    <r>
      <rPr>
        <sz val="10"/>
        <color rgb="FF090A0A"/>
        <rFont val="游ゴシック体"/>
        <family val="2"/>
      </rPr>
      <t xml:space="preserve">体制維持費（率</t>
    </r>
    <r>
      <rPr>
        <sz val="10"/>
        <color rgb="FF090A0A"/>
        <rFont val="Noto Sans JP"/>
        <family val="0"/>
        <charset val="1"/>
      </rPr>
      <t xml:space="preserve">×</t>
    </r>
    <r>
      <rPr>
        <sz val="10"/>
        <color rgb="FF090A0A"/>
        <rFont val="游ゴシック体"/>
        <family val="2"/>
      </rPr>
      <t xml:space="preserve">小計）</t>
    </r>
  </si>
  <si>
    <t xml:space="preserve">お値引き</t>
  </si>
  <si>
    <t xml:space="preserve">ご提示額（税抜）</t>
  </si>
  <si>
    <t xml:space="preserve">ご提示額（税込）</t>
  </si>
  <si>
    <t xml:space="preserve">👤 採算（社内限り・印刷範囲外）</t>
  </si>
  <si>
    <t xml:space="preserve">利益率（工数どおり）</t>
  </si>
  <si>
    <t xml:space="preserve">利益率（バッファまで消化）</t>
  </si>
  <si>
    <r>
      <rPr>
        <b val="true"/>
        <sz val="10"/>
        <color rgb="FF0066FF"/>
        <rFont val="游ゴシック体"/>
        <family val="2"/>
      </rPr>
      <t xml:space="preserve">⏭ 次にやること</t>
    </r>
    <r>
      <rPr>
        <b val="true"/>
        <sz val="10"/>
        <color rgb="FF0066FF"/>
        <rFont val="Noto Sans JP"/>
        <family val="0"/>
        <charset val="1"/>
      </rPr>
      <t xml:space="preserve">: </t>
    </r>
    <r>
      <rPr>
        <b val="true"/>
        <sz val="10"/>
        <color rgb="FF0066FF"/>
        <rFont val="游ゴシック体"/>
        <family val="2"/>
      </rPr>
      <t xml:space="preserve">金額を確認 → 🔔 上長・</t>
    </r>
    <r>
      <rPr>
        <b val="true"/>
        <sz val="10"/>
        <color rgb="FF0066FF"/>
        <rFont val="Noto Sans JP"/>
        <family val="0"/>
        <charset val="1"/>
      </rPr>
      <t xml:space="preserve">PM </t>
    </r>
    <r>
      <rPr>
        <b val="true"/>
        <sz val="10"/>
        <color rgb="FF0066FF"/>
        <rFont val="游ゴシック体"/>
        <family val="2"/>
      </rPr>
      <t xml:space="preserve">のレビュー（</t>
    </r>
    <r>
      <rPr>
        <b val="true"/>
        <sz val="10"/>
        <color rgb="FF0066FF"/>
        <rFont val="Noto Sans JP"/>
        <family val="0"/>
        <charset val="1"/>
      </rPr>
      <t xml:space="preserve">Rule 13</t>
    </r>
    <r>
      <rPr>
        <b val="true"/>
        <sz val="10"/>
        <color rgb="FF0066FF"/>
        <rFont val="游ゴシック体"/>
        <family val="2"/>
      </rPr>
      <t xml:space="preserve">）→ 📤 顧客提出は </t>
    </r>
    <r>
      <rPr>
        <b val="true"/>
        <sz val="10"/>
        <color rgb="FF0066FF"/>
        <rFont val="Noto Sans JP"/>
        <family val="0"/>
        <charset val="1"/>
      </rPr>
      <t xml:space="preserve">AI </t>
    </r>
    <r>
      <rPr>
        <b val="true"/>
        <sz val="10"/>
        <color rgb="FF0066FF"/>
        <rFont val="游ゴシック体"/>
        <family val="2"/>
      </rPr>
      <t xml:space="preserve">に「提出用の </t>
    </r>
    <r>
      <rPr>
        <b val="true"/>
        <sz val="10"/>
        <color rgb="FF0066FF"/>
        <rFont val="Noto Sans JP"/>
        <family val="0"/>
        <charset val="1"/>
      </rPr>
      <t xml:space="preserve">HTML / PDF </t>
    </r>
    <r>
      <rPr>
        <b val="true"/>
        <sz val="10"/>
        <color rgb="FF0066FF"/>
        <rFont val="游ゴシック体"/>
        <family val="2"/>
      </rPr>
      <t xml:space="preserve">を生成して」と依頼（</t>
    </r>
    <r>
      <rPr>
        <b val="true"/>
        <sz val="10"/>
        <color rgb="FF0066FF"/>
        <rFont val="Noto Sans JP"/>
        <family val="0"/>
        <charset val="1"/>
      </rPr>
      <t xml:space="preserve">or A:D </t>
    </r>
    <r>
      <rPr>
        <b val="true"/>
        <sz val="10"/>
        <color rgb="FF0066FF"/>
        <rFont val="游ゴシック体"/>
        <family val="2"/>
      </rPr>
      <t xml:space="preserve">を </t>
    </r>
    <r>
      <rPr>
        <b val="true"/>
        <sz val="10"/>
        <color rgb="FF0066FF"/>
        <rFont val="Noto Sans JP"/>
        <family val="0"/>
        <charset val="1"/>
      </rPr>
      <t xml:space="preserve">PDF</t>
    </r>
    <r>
      <rPr>
        <b val="true"/>
        <sz val="10"/>
        <color rgb="FF0066FF"/>
        <rFont val="游ゴシック体"/>
        <family val="2"/>
      </rPr>
      <t xml:space="preserve">）</t>
    </r>
  </si>
  <si>
    <r>
      <rPr>
        <b val="true"/>
        <sz val="10"/>
        <color rgb="FFD63637"/>
        <rFont val="游ゴシック体"/>
        <family val="2"/>
      </rPr>
      <t xml:space="preserve">⚠ 社内用（</t>
    </r>
    <r>
      <rPr>
        <b val="true"/>
        <sz val="10"/>
        <color rgb="FFD63637"/>
        <rFont val="Noto Sans JP"/>
        <family val="0"/>
        <charset val="1"/>
      </rPr>
      <t xml:space="preserve">J</t>
    </r>
    <r>
      <rPr>
        <b val="true"/>
        <sz val="10"/>
        <color rgb="FFD63637"/>
        <rFont val="游ゴシック体"/>
        <family val="2"/>
      </rPr>
      <t xml:space="preserve">列＝社内金額・右側＝採算</t>
    </r>
    <r>
      <rPr>
        <b val="true"/>
        <sz val="10"/>
        <color rgb="FFD63637"/>
        <rFont val="Noto Sans JP"/>
        <family val="0"/>
        <charset val="1"/>
      </rPr>
      <t xml:space="preserve">/</t>
    </r>
    <r>
      <rPr>
        <b val="true"/>
        <sz val="10"/>
        <color rgb="FFD63637"/>
        <rFont val="游ゴシック体"/>
        <family val="2"/>
      </rPr>
      <t xml:space="preserve">利益率を含む）。このファイルのままお客様へ送らないこと。顧客提出はキットの </t>
    </r>
    <r>
      <rPr>
        <b val="true"/>
        <sz val="10"/>
        <color rgb="FFD63637"/>
        <rFont val="Noto Sans JP"/>
        <family val="0"/>
        <charset val="1"/>
      </rPr>
      <t xml:space="preserve">HTML / PDF</t>
    </r>
    <r>
      <rPr>
        <b val="true"/>
        <sz val="10"/>
        <color rgb="FFD63637"/>
        <rFont val="游ゴシック体"/>
        <family val="2"/>
      </rPr>
      <t xml:space="preserve">、または「社内列」を折りたたんで印刷範囲 </t>
    </r>
    <r>
      <rPr>
        <b val="true"/>
        <sz val="10"/>
        <color rgb="FFD63637"/>
        <rFont val="Noto Sans JP"/>
        <family val="0"/>
        <charset val="1"/>
      </rPr>
      <t xml:space="preserve">A:I </t>
    </r>
    <r>
      <rPr>
        <b val="true"/>
        <sz val="10"/>
        <color rgb="FFD63637"/>
        <rFont val="游ゴシック体"/>
        <family val="2"/>
      </rPr>
      <t xml:space="preserve">を </t>
    </r>
    <r>
      <rPr>
        <b val="true"/>
        <sz val="10"/>
        <color rgb="FFD63637"/>
        <rFont val="Noto Sans JP"/>
        <family val="0"/>
        <charset val="1"/>
      </rPr>
      <t xml:space="preserve">PDF </t>
    </r>
    <r>
      <rPr>
        <b val="true"/>
        <sz val="10"/>
        <color rgb="FFD63637"/>
        <rFont val="游ゴシック体"/>
        <family val="2"/>
      </rPr>
      <t xml:space="preserve">出力（</t>
    </r>
    <r>
      <rPr>
        <b val="true"/>
        <sz val="10"/>
        <color rgb="FFD63637"/>
        <rFont val="Noto Sans JP"/>
        <family val="0"/>
        <charset val="1"/>
      </rPr>
      <t xml:space="preserve">Rule 10</t>
    </r>
    <r>
      <rPr>
        <b val="true"/>
        <sz val="10"/>
        <color rgb="FFD63637"/>
        <rFont val="游ゴシック体"/>
        <family val="2"/>
      </rPr>
      <t xml:space="preserve">）。</t>
    </r>
  </si>
  <si>
    <r>
      <rPr>
        <b val="true"/>
        <sz val="10"/>
        <color rgb="FF090A0A"/>
        <rFont val="游ゴシック体"/>
        <family val="2"/>
      </rPr>
      <t xml:space="preserve">📝 見積明細（工数</t>
    </r>
    <r>
      <rPr>
        <b val="true"/>
        <sz val="10"/>
        <color rgb="FF090A0A"/>
        <rFont val="Noto Sans JP"/>
        <family val="0"/>
        <charset val="1"/>
      </rPr>
      <t xml:space="preserve">×</t>
    </r>
    <r>
      <rPr>
        <b val="true"/>
        <sz val="10"/>
        <color rgb="FF090A0A"/>
        <rFont val="游ゴシック体"/>
        <family val="2"/>
      </rPr>
      <t xml:space="preserve">単価の積み上げ・計上✓で金額に反映）</t>
    </r>
  </si>
  <si>
    <r>
      <rPr>
        <sz val="9"/>
        <color rgb="FF6C7072"/>
        <rFont val="游ゴシック体"/>
        <family val="2"/>
      </rPr>
      <t xml:space="preserve">👤 社内金額は社内限り（</t>
    </r>
    <r>
      <rPr>
        <sz val="9"/>
        <color rgb="FF6C7072"/>
        <rFont val="Noto Sans JP"/>
        <family val="0"/>
        <charset val="1"/>
      </rPr>
      <t xml:space="preserve">Rule 10</t>
    </r>
    <r>
      <rPr>
        <sz val="9"/>
        <color rgb="FF6C7072"/>
        <rFont val="游ゴシック体"/>
        <family val="2"/>
      </rPr>
      <t xml:space="preserve">）／合計・サマリは隣の「見積サマリ」シート</t>
    </r>
  </si>
  <si>
    <t xml:space="preserve">計上</t>
  </si>
  <si>
    <t xml:space="preserve">フェーズ</t>
  </si>
  <si>
    <t xml:space="preserve">カテゴリ</t>
  </si>
  <si>
    <t xml:space="preserve">項目</t>
  </si>
  <si>
    <t xml:space="preserve">概要</t>
  </si>
  <si>
    <t xml:space="preserve">実装方式</t>
  </si>
  <si>
    <t xml:space="preserve">根拠・備考</t>
  </si>
  <si>
    <r>
      <rPr>
        <b val="true"/>
        <sz val="10"/>
        <color rgb="FFFFFFFF"/>
        <rFont val="游ゴシック体"/>
        <family val="2"/>
      </rPr>
      <t xml:space="preserve">優先度</t>
    </r>
    <r>
      <rPr>
        <b val="true"/>
        <sz val="10"/>
        <color rgb="FFFFFFFF"/>
        <rFont val="Noto Sans JP"/>
        <family val="0"/>
        <charset val="1"/>
      </rPr>
      <t xml:space="preserve">(MWO)</t>
    </r>
  </si>
  <si>
    <r>
      <rPr>
        <b val="true"/>
        <sz val="10"/>
        <color rgb="FF090A0A"/>
        <rFont val="游ゴシック体"/>
        <family val="2"/>
      </rPr>
      <t xml:space="preserve">💡 優先度（</t>
    </r>
    <r>
      <rPr>
        <b val="true"/>
        <sz val="10"/>
        <color rgb="FF090A0A"/>
        <rFont val="Noto Sans JP"/>
        <family val="0"/>
        <charset val="1"/>
      </rPr>
      <t xml:space="preserve">MWO</t>
    </r>
    <r>
      <rPr>
        <b val="true"/>
        <sz val="10"/>
        <color rgb="FF090A0A"/>
        <rFont val="游ゴシック体"/>
        <family val="2"/>
      </rPr>
      <t xml:space="preserve">）別の金額 — 予算調整はここを見る 👤</t>
    </r>
  </si>
  <si>
    <t xml:space="preserve">行種別</t>
  </si>
  <si>
    <r>
      <rPr>
        <sz val="9"/>
        <color rgb="FF6C7072"/>
        <rFont val="Noto Sans JP"/>
        <family val="0"/>
        <charset val="1"/>
      </rPr>
      <t xml:space="preserve">leaf</t>
    </r>
    <r>
      <rPr>
        <sz val="9"/>
        <color rgb="FF6C7072"/>
        <rFont val="游ゴシック体"/>
        <family val="2"/>
      </rPr>
      <t xml:space="preserve">社内</t>
    </r>
  </si>
  <si>
    <r>
      <rPr>
        <sz val="9"/>
        <color rgb="FF6C7072"/>
        <rFont val="Noto Sans JP"/>
        <family val="0"/>
        <charset val="1"/>
      </rPr>
      <t xml:space="preserve">leaf</t>
    </r>
    <r>
      <rPr>
        <sz val="9"/>
        <color rgb="FF6C7072"/>
        <rFont val="游ゴシック体"/>
        <family val="2"/>
      </rPr>
      <t xml:space="preserve">社外</t>
    </r>
  </si>
  <si>
    <t xml:space="preserve">✓</t>
  </si>
  <si>
    <r>
      <rPr>
        <sz val="10"/>
        <color rgb="FF090A0A"/>
        <rFont val="Noto Sans JP"/>
        <family val="0"/>
        <charset val="1"/>
      </rPr>
      <t xml:space="preserve">PM</t>
    </r>
    <r>
      <rPr>
        <sz val="10"/>
        <color rgb="FF090A0A"/>
        <rFont val="游ゴシック体"/>
        <family val="2"/>
      </rPr>
      <t xml:space="preserve">・全体管理</t>
    </r>
  </si>
  <si>
    <t xml:space="preserve">要件定義管理</t>
  </si>
  <si>
    <r>
      <rPr>
        <sz val="9"/>
        <color rgb="FF6C7072"/>
        <rFont val="游ゴシック体"/>
        <family val="2"/>
      </rPr>
      <t xml:space="preserve">進捗・課題・リスク・変更管理（フェーズ費用</t>
    </r>
    <r>
      <rPr>
        <sz val="9"/>
        <color rgb="FF6C7072"/>
        <rFont val="Noto Sans JP"/>
        <family val="0"/>
        <charset val="1"/>
      </rPr>
      <t xml:space="preserve">×</t>
    </r>
    <r>
      <rPr>
        <sz val="9"/>
        <color rgb="FF6C7072"/>
        <rFont val="游ゴシック体"/>
        <family val="2"/>
      </rPr>
      <t xml:space="preserve">管理費率で自動計算）</t>
    </r>
  </si>
  <si>
    <r>
      <rPr>
        <b val="true"/>
        <sz val="10"/>
        <color rgb="FFFFFFFF"/>
        <rFont val="游ゴシック体"/>
        <family val="2"/>
      </rPr>
      <t xml:space="preserve">工数</t>
    </r>
    <r>
      <rPr>
        <b val="true"/>
        <sz val="10"/>
        <color rgb="FFFFFFFF"/>
        <rFont val="Noto Sans JP"/>
        <family val="0"/>
        <charset val="1"/>
      </rPr>
      <t xml:space="preserve">(</t>
    </r>
    <r>
      <rPr>
        <b val="true"/>
        <sz val="10"/>
        <color rgb="FFFFFFFF"/>
        <rFont val="游ゴシック体"/>
        <family val="2"/>
      </rPr>
      <t xml:space="preserve">計上分</t>
    </r>
    <r>
      <rPr>
        <b val="true"/>
        <sz val="10"/>
        <color rgb="FFFFFFFF"/>
        <rFont val="Noto Sans JP"/>
        <family val="0"/>
        <charset val="1"/>
      </rPr>
      <t xml:space="preserve">)</t>
    </r>
  </si>
  <si>
    <t xml:space="preserve">社外金額</t>
  </si>
  <si>
    <t xml:space="preserve">pm</t>
  </si>
  <si>
    <t xml:space="preserve">プロジェクト計画書</t>
  </si>
  <si>
    <t xml:space="preserve">目的・スコープ・体制・スケジュール・コミュニケーションルールの定義</t>
  </si>
  <si>
    <t xml:space="preserve">標準成果物</t>
  </si>
  <si>
    <t xml:space="preserve">M</t>
  </si>
  <si>
    <r>
      <rPr>
        <b val="true"/>
        <sz val="10"/>
        <color rgb="FF090A0A"/>
        <rFont val="Noto Sans JP"/>
        <family val="0"/>
        <charset val="1"/>
      </rPr>
      <t xml:space="preserve">M</t>
    </r>
    <r>
      <rPr>
        <b val="true"/>
        <sz val="10"/>
        <color rgb="FF090A0A"/>
        <rFont val="游ゴシック体"/>
        <family val="2"/>
      </rPr>
      <t xml:space="preserve">（必須＝最小構成）</t>
    </r>
  </si>
  <si>
    <t xml:space="preserve">leaf</t>
  </si>
  <si>
    <t xml:space="preserve">キックオフ・要件確定ヒアリング</t>
  </si>
  <si>
    <r>
      <rPr>
        <sz val="9"/>
        <color rgb="FF6C7072"/>
        <rFont val="游ゴシック体"/>
        <family val="2"/>
      </rPr>
      <t xml:space="preserve">お客様との要件確定 </t>
    </r>
    <r>
      <rPr>
        <sz val="9"/>
        <color rgb="FF6C7072"/>
        <rFont val="Noto Sans JP"/>
        <family val="0"/>
        <charset val="1"/>
      </rPr>
      <t xml:space="preserve">MTG</t>
    </r>
    <r>
      <rPr>
        <sz val="9"/>
        <color rgb="FF6C7072"/>
        <rFont val="游ゴシック体"/>
        <family val="2"/>
      </rPr>
      <t xml:space="preserve">（複数回想定）・議事録・要件確定書</t>
    </r>
  </si>
  <si>
    <r>
      <rPr>
        <sz val="9"/>
        <color rgb="FF6C7072"/>
        <rFont val="游ゴシック体"/>
        <family val="2"/>
      </rPr>
      <t xml:space="preserve">打合せ </t>
    </r>
    <r>
      <rPr>
        <sz val="9"/>
        <color rgb="FF6C7072"/>
        <rFont val="Noto Sans JP"/>
        <family val="0"/>
        <charset val="1"/>
      </rPr>
      <t xml:space="preserve">4 </t>
    </r>
    <r>
      <rPr>
        <sz val="9"/>
        <color rgb="FF6C7072"/>
        <rFont val="游ゴシック体"/>
        <family val="2"/>
      </rPr>
      <t xml:space="preserve">回想定</t>
    </r>
  </si>
  <si>
    <r>
      <rPr>
        <b val="true"/>
        <sz val="10"/>
        <color rgb="FF0066FF"/>
        <rFont val="Noto Sans JP"/>
        <family val="0"/>
        <charset val="1"/>
      </rPr>
      <t xml:space="preserve">W</t>
    </r>
    <r>
      <rPr>
        <b val="true"/>
        <sz val="10"/>
        <color rgb="FF0066FF"/>
        <rFont val="游ゴシック体"/>
        <family val="2"/>
      </rPr>
      <t xml:space="preserve">（できれば＝調整余地）</t>
    </r>
  </si>
  <si>
    <r>
      <rPr>
        <sz val="10"/>
        <color rgb="FF090A0A"/>
        <rFont val="游ゴシック体"/>
        <family val="2"/>
      </rPr>
      <t xml:space="preserve">業務フロー・</t>
    </r>
    <r>
      <rPr>
        <sz val="10"/>
        <color rgb="FF090A0A"/>
        <rFont val="Noto Sans JP"/>
        <family val="0"/>
        <charset val="1"/>
      </rPr>
      <t xml:space="preserve">As-Is/To-Be </t>
    </r>
    <r>
      <rPr>
        <sz val="10"/>
        <color rgb="FF090A0A"/>
        <rFont val="游ゴシック体"/>
        <family val="2"/>
      </rPr>
      <t xml:space="preserve">整理</t>
    </r>
  </si>
  <si>
    <t xml:space="preserve">現状業務と導入後の流れの整理</t>
  </si>
  <si>
    <t xml:space="preserve">業務規模より</t>
  </si>
  <si>
    <r>
      <rPr>
        <sz val="10"/>
        <color rgb="FF090A0A"/>
        <rFont val="Noto Sans JP"/>
        <family val="0"/>
        <charset val="1"/>
      </rPr>
      <t xml:space="preserve">O</t>
    </r>
    <r>
      <rPr>
        <sz val="10"/>
        <color rgb="FF090A0A"/>
        <rFont val="游ゴシック体"/>
        <family val="2"/>
      </rPr>
      <t xml:space="preserve">・★未確定（</t>
    </r>
    <r>
      <rPr>
        <sz val="10"/>
        <color rgb="FF090A0A"/>
        <rFont val="Noto Sans JP"/>
        <family val="0"/>
        <charset val="1"/>
      </rPr>
      <t xml:space="preserve">0</t>
    </r>
    <r>
      <rPr>
        <sz val="10"/>
        <color rgb="FF090A0A"/>
        <rFont val="游ゴシック体"/>
        <family val="2"/>
      </rPr>
      <t xml:space="preserve">円のはず）</t>
    </r>
  </si>
  <si>
    <t xml:space="preserve">機能一覧・スコープ定義</t>
  </si>
  <si>
    <r>
      <rPr>
        <sz val="9"/>
        <color rgb="FF6C7072"/>
        <rFont val="Noto Sans JP"/>
        <family val="0"/>
        <charset val="1"/>
      </rPr>
      <t xml:space="preserve">Must / Want / Out of Scope </t>
    </r>
    <r>
      <rPr>
        <sz val="9"/>
        <color rgb="FF6C7072"/>
        <rFont val="游ゴシック体"/>
        <family val="2"/>
      </rPr>
      <t xml:space="preserve">の明文化</t>
    </r>
  </si>
  <si>
    <t xml:space="preserve">画面・機能数より</t>
  </si>
  <si>
    <r>
      <rPr>
        <sz val="10"/>
        <color rgb="FF090A0A"/>
        <rFont val="游ゴシック体"/>
        <family val="2"/>
      </rPr>
      <t xml:space="preserve">要件定義書（機能</t>
    </r>
    <r>
      <rPr>
        <sz val="10"/>
        <color rgb="FF090A0A"/>
        <rFont val="Noto Sans JP"/>
        <family val="0"/>
        <charset val="1"/>
      </rPr>
      <t xml:space="preserve">/</t>
    </r>
    <r>
      <rPr>
        <sz val="10"/>
        <color rgb="FF090A0A"/>
        <rFont val="游ゴシック体"/>
        <family val="2"/>
      </rPr>
      <t xml:space="preserve">非機能）</t>
    </r>
  </si>
  <si>
    <t xml:space="preserve">機能要件と非機能要件（性能・セキュリティ等）の定義</t>
  </si>
  <si>
    <r>
      <rPr>
        <b val="true"/>
        <sz val="10"/>
        <color rgb="FF090A0A"/>
        <rFont val="游ゴシック体"/>
        <family val="2"/>
      </rPr>
      <t xml:space="preserve">🔍 抜け漏れチェック（</t>
    </r>
    <r>
      <rPr>
        <b val="true"/>
        <sz val="10"/>
        <color rgb="FF090A0A"/>
        <rFont val="Noto Sans JP"/>
        <family val="0"/>
        <charset val="1"/>
      </rPr>
      <t xml:space="preserve">Rule 2</t>
    </r>
    <r>
      <rPr>
        <b val="true"/>
        <sz val="10"/>
        <color rgb="FF090A0A"/>
        <rFont val="游ゴシック体"/>
        <family val="2"/>
      </rPr>
      <t xml:space="preserve">・自動判定）👤</t>
    </r>
  </si>
  <si>
    <t xml:space="preserve">デザイン管理</t>
  </si>
  <si>
    <t xml:space="preserve">デザインフェーズの進捗・品質管理</t>
  </si>
  <si>
    <r>
      <rPr>
        <sz val="10"/>
        <color rgb="FF090A0A"/>
        <rFont val="Noto Sans JP"/>
        <family val="0"/>
        <charset val="1"/>
      </rPr>
      <t xml:space="preserve">UI/UX</t>
    </r>
    <r>
      <rPr>
        <sz val="10"/>
        <color rgb="FF090A0A"/>
        <rFont val="游ゴシック体"/>
        <family val="2"/>
      </rPr>
      <t xml:space="preserve">デザイン</t>
    </r>
  </si>
  <si>
    <t xml:space="preserve">ワイヤーフレーム</t>
  </si>
  <si>
    <t xml:space="preserve">主要画面の構成・導線設計</t>
  </si>
  <si>
    <t xml:space="preserve">画面数より</t>
  </si>
  <si>
    <t xml:space="preserve">テスト工程</t>
  </si>
  <si>
    <r>
      <rPr>
        <sz val="10"/>
        <color rgb="FF090A0A"/>
        <rFont val="Noto Sans JP"/>
        <family val="0"/>
        <charset val="1"/>
      </rPr>
      <t xml:space="preserve">UI</t>
    </r>
    <r>
      <rPr>
        <sz val="10"/>
        <color rgb="FF090A0A"/>
        <rFont val="游ゴシック体"/>
        <family val="2"/>
      </rPr>
      <t xml:space="preserve">デザイン（主要画面）</t>
    </r>
  </si>
  <si>
    <t xml:space="preserve">本デザイン・プロトタイプ</t>
  </si>
  <si>
    <r>
      <rPr>
        <sz val="9"/>
        <color rgb="FF6C7072"/>
        <rFont val="游ゴシック体"/>
        <family val="2"/>
      </rPr>
      <t xml:space="preserve">画面数</t>
    </r>
    <r>
      <rPr>
        <sz val="9"/>
        <color rgb="FF6C7072"/>
        <rFont val="Noto Sans JP"/>
        <family val="0"/>
        <charset val="1"/>
      </rPr>
      <t xml:space="preserve">×</t>
    </r>
    <r>
      <rPr>
        <sz val="9"/>
        <color rgb="FF6C7072"/>
        <rFont val="游ゴシック体"/>
        <family val="2"/>
      </rPr>
      <t xml:space="preserve">難易度より</t>
    </r>
  </si>
  <si>
    <t xml:space="preserve">リリース／ストア申請</t>
  </si>
  <si>
    <t xml:space="preserve">デザインガイドライン・共通パーツ</t>
  </si>
  <si>
    <t xml:space="preserve">色・タイポ・コンポーネントの整備</t>
  </si>
  <si>
    <t xml:space="preserve">標準</t>
  </si>
  <si>
    <t xml:space="preserve">非機能要件チェック</t>
  </si>
  <si>
    <t xml:space="preserve">アプリアイコン・ストア掲載素材</t>
  </si>
  <si>
    <t xml:space="preserve">アイコン・スクリーンショット・紹介文（アプリ案件のみ）</t>
  </si>
  <si>
    <t xml:space="preserve">W</t>
  </si>
  <si>
    <t xml:space="preserve">設計管理</t>
  </si>
  <si>
    <t xml:space="preserve">設計フェーズの進捗・品質管理</t>
  </si>
  <si>
    <r>
      <rPr>
        <b val="true"/>
        <sz val="10"/>
        <color rgb="FF090A0A"/>
        <rFont val="游ゴシック体"/>
        <family val="2"/>
      </rPr>
      <t xml:space="preserve">🔍 フェーズ</t>
    </r>
    <r>
      <rPr>
        <b val="true"/>
        <sz val="10"/>
        <color rgb="FF090A0A"/>
        <rFont val="Noto Sans JP"/>
        <family val="0"/>
        <charset val="1"/>
      </rPr>
      <t xml:space="preserve">×</t>
    </r>
    <r>
      <rPr>
        <b val="true"/>
        <sz val="10"/>
        <color rgb="FF090A0A"/>
        <rFont val="游ゴシック体"/>
        <family val="2"/>
      </rPr>
      <t xml:space="preserve">カテゴリ 工数マトリクス（計上分・人日）— 空欄＝抜け候補 👤</t>
    </r>
  </si>
  <si>
    <t xml:space="preserve">内部設計</t>
  </si>
  <si>
    <t xml:space="preserve">アーキテクチャ・技術選定</t>
  </si>
  <si>
    <t xml:space="preserve">構成・フレームワーク・インフラ方針の決定</t>
  </si>
  <si>
    <t xml:space="preserve">フェーズ＼カテゴリ</t>
  </si>
  <si>
    <r>
      <rPr>
        <b val="true"/>
        <sz val="10"/>
        <color rgb="FFFFFFFF"/>
        <rFont val="Noto Sans JP"/>
        <family val="0"/>
        <charset val="1"/>
      </rPr>
      <t xml:space="preserve">UI/UX</t>
    </r>
    <r>
      <rPr>
        <b val="true"/>
        <sz val="10"/>
        <color rgb="FFFFFFFF"/>
        <rFont val="游ゴシック体"/>
        <family val="2"/>
      </rPr>
      <t xml:space="preserve">デザイン</t>
    </r>
  </si>
  <si>
    <t xml:space="preserve">外部設計</t>
  </si>
  <si>
    <t xml:space="preserve">インフラ・環境</t>
  </si>
  <si>
    <r>
      <rPr>
        <b val="true"/>
        <sz val="10"/>
        <color rgb="FFFFFFFF"/>
        <rFont val="游ゴシック体"/>
        <family val="2"/>
      </rPr>
      <t xml:space="preserve">アプリ</t>
    </r>
    <r>
      <rPr>
        <b val="true"/>
        <sz val="10"/>
        <color rgb="FFFFFFFF"/>
        <rFont val="Noto Sans JP"/>
        <family val="0"/>
        <charset val="1"/>
      </rPr>
      <t xml:space="preserve">(iOS/Android)</t>
    </r>
  </si>
  <si>
    <r>
      <rPr>
        <b val="true"/>
        <sz val="10"/>
        <color rgb="FFFFFFFF"/>
        <rFont val="Noto Sans JP"/>
        <family val="0"/>
        <charset val="1"/>
      </rPr>
      <t xml:space="preserve">API</t>
    </r>
    <r>
      <rPr>
        <b val="true"/>
        <sz val="10"/>
        <color rgb="FFFFFFFF"/>
        <rFont val="游ゴシック体"/>
        <family val="2"/>
      </rPr>
      <t xml:space="preserve">・サーバ</t>
    </r>
  </si>
  <si>
    <r>
      <rPr>
        <b val="true"/>
        <sz val="10"/>
        <color rgb="FFFFFFFF"/>
        <rFont val="游ゴシック体"/>
        <family val="2"/>
      </rPr>
      <t xml:space="preserve">管理画面</t>
    </r>
    <r>
      <rPr>
        <b val="true"/>
        <sz val="10"/>
        <color rgb="FFFFFFFF"/>
        <rFont val="Noto Sans JP"/>
        <family val="0"/>
        <charset val="1"/>
      </rPr>
      <t xml:space="preserve">(CMS)</t>
    </r>
  </si>
  <si>
    <t xml:space="preserve">バッチ</t>
  </si>
  <si>
    <t xml:space="preserve">外部連携</t>
  </si>
  <si>
    <t xml:space="preserve">セキュリティ</t>
  </si>
  <si>
    <t xml:space="preserve">共通</t>
  </si>
  <si>
    <t xml:space="preserve">運用・保守</t>
  </si>
  <si>
    <t xml:space="preserve">画面仕様書</t>
  </si>
  <si>
    <t xml:space="preserve">表示項目・操作・遷移・エラーの定義</t>
  </si>
  <si>
    <r>
      <rPr>
        <sz val="10"/>
        <color rgb="FF090A0A"/>
        <rFont val="Noto Sans JP"/>
        <family val="0"/>
        <charset val="1"/>
      </rPr>
      <t xml:space="preserve">API</t>
    </r>
    <r>
      <rPr>
        <sz val="10"/>
        <color rgb="FF090A0A"/>
        <rFont val="游ゴシック体"/>
        <family val="2"/>
      </rPr>
      <t xml:space="preserve">・インターフェース設計</t>
    </r>
  </si>
  <si>
    <r>
      <rPr>
        <sz val="9"/>
        <color rgb="FF6C7072"/>
        <rFont val="游ゴシック体"/>
        <family val="2"/>
      </rPr>
      <t xml:space="preserve">エンドポイント・リクエスト</t>
    </r>
    <r>
      <rPr>
        <sz val="9"/>
        <color rgb="FF6C7072"/>
        <rFont val="Noto Sans JP"/>
        <family val="0"/>
        <charset val="1"/>
      </rPr>
      <t xml:space="preserve">/</t>
    </r>
    <r>
      <rPr>
        <sz val="9"/>
        <color rgb="FF6C7072"/>
        <rFont val="游ゴシック体"/>
        <family val="2"/>
      </rPr>
      <t xml:space="preserve">レスポンス定義</t>
    </r>
  </si>
  <si>
    <r>
      <rPr>
        <sz val="9"/>
        <color rgb="FF6C7072"/>
        <rFont val="Noto Sans JP"/>
        <family val="0"/>
        <charset val="1"/>
      </rPr>
      <t xml:space="preserve">API </t>
    </r>
    <r>
      <rPr>
        <sz val="9"/>
        <color rgb="FF6C7072"/>
        <rFont val="游ゴシック体"/>
        <family val="2"/>
      </rPr>
      <t xml:space="preserve">本数より</t>
    </r>
  </si>
  <si>
    <r>
      <rPr>
        <sz val="10"/>
        <color rgb="FF090A0A"/>
        <rFont val="Noto Sans JP"/>
        <family val="0"/>
        <charset val="1"/>
      </rPr>
      <t xml:space="preserve">DB </t>
    </r>
    <r>
      <rPr>
        <sz val="10"/>
        <color rgb="FF090A0A"/>
        <rFont val="游ゴシック体"/>
        <family val="2"/>
      </rPr>
      <t xml:space="preserve">設計</t>
    </r>
  </si>
  <si>
    <t xml:space="preserve">テーブル・インデックス・マイグレーション方針</t>
  </si>
  <si>
    <t xml:space="preserve">テーブル数より</t>
  </si>
  <si>
    <t xml:space="preserve">エラー・例外設計</t>
  </si>
  <si>
    <t xml:space="preserve">エラーコード体系とユーザー向けメッセージの定義</t>
  </si>
  <si>
    <t xml:space="preserve">開発管理</t>
  </si>
  <si>
    <t xml:space="preserve">開発フェーズの進捗・品質・リスク管理（オフショア連携含む）</t>
  </si>
  <si>
    <r>
      <rPr>
        <sz val="10"/>
        <color rgb="FF090A0A"/>
        <rFont val="游ゴシック体"/>
        <family val="2"/>
      </rPr>
      <t xml:space="preserve">開発環境構築・</t>
    </r>
    <r>
      <rPr>
        <sz val="10"/>
        <color rgb="FF090A0A"/>
        <rFont val="Noto Sans JP"/>
        <family val="0"/>
        <charset val="1"/>
      </rPr>
      <t xml:space="preserve">CI/CD</t>
    </r>
  </si>
  <si>
    <t xml:space="preserve">リポジトリ・ビルド・テスト配布環境の整備</t>
  </si>
  <si>
    <t xml:space="preserve">標準構成</t>
  </si>
  <si>
    <r>
      <rPr>
        <b val="true"/>
        <sz val="10"/>
        <color rgb="FF090A0A"/>
        <rFont val="游ゴシック体"/>
        <family val="2"/>
      </rPr>
      <t xml:space="preserve">アプリ</t>
    </r>
    <r>
      <rPr>
        <b val="true"/>
        <sz val="10"/>
        <color rgb="FF090A0A"/>
        <rFont val="Noto Sans JP"/>
        <family val="0"/>
        <charset val="1"/>
      </rPr>
      <t xml:space="preserve">(iOS/Android)</t>
    </r>
  </si>
  <si>
    <t xml:space="preserve">認証・ログイン機能【内訳合計】</t>
  </si>
  <si>
    <t xml:space="preserve">ログイン・トークン管理・パスワード再設定を含む認証一式</t>
  </si>
  <si>
    <t xml:space="preserve">parent</t>
  </si>
  <si>
    <r>
      <rPr>
        <sz val="10"/>
        <color rgb="FF090A0A"/>
        <rFont val="游ゴシック体"/>
        <family val="2"/>
      </rPr>
      <t xml:space="preserve">アプリ</t>
    </r>
    <r>
      <rPr>
        <sz val="10"/>
        <color rgb="FF090A0A"/>
        <rFont val="Noto Sans JP"/>
        <family val="0"/>
        <charset val="1"/>
      </rPr>
      <t xml:space="preserve">(iOS/Android)</t>
    </r>
  </si>
  <si>
    <r>
      <rPr>
        <sz val="10"/>
        <color rgb="FF090A0A"/>
        <rFont val="游ゴシック体"/>
        <family val="2"/>
      </rPr>
      <t xml:space="preserve">　└ ログイン画面 </t>
    </r>
    <r>
      <rPr>
        <sz val="10"/>
        <color rgb="FF090A0A"/>
        <rFont val="Noto Sans JP"/>
        <family val="0"/>
        <charset val="1"/>
      </rPr>
      <t xml:space="preserve">UI</t>
    </r>
    <r>
      <rPr>
        <sz val="10"/>
        <color rgb="FF090A0A"/>
        <rFont val="游ゴシック体"/>
        <family val="2"/>
      </rPr>
      <t xml:space="preserve">・入力チェック</t>
    </r>
  </si>
  <si>
    <t xml:space="preserve">バリデーション・パスワード表示切替</t>
  </si>
  <si>
    <t xml:space="preserve">ネイティブ</t>
  </si>
  <si>
    <r>
      <rPr>
        <sz val="9"/>
        <color rgb="FF6C7072"/>
        <rFont val="游ゴシック体"/>
        <family val="2"/>
      </rPr>
      <t xml:space="preserve">標準画面 </t>
    </r>
    <r>
      <rPr>
        <sz val="9"/>
        <color rgb="FF6C7072"/>
        <rFont val="Noto Sans JP"/>
        <family val="0"/>
        <charset val="1"/>
      </rPr>
      <t xml:space="preserve">1 </t>
    </r>
    <r>
      <rPr>
        <sz val="9"/>
        <color rgb="FF6C7072"/>
        <rFont val="游ゴシック体"/>
        <family val="2"/>
      </rPr>
      <t xml:space="preserve">枚</t>
    </r>
  </si>
  <si>
    <r>
      <rPr>
        <sz val="10"/>
        <color rgb="FF090A0A"/>
        <rFont val="游ゴシック体"/>
        <family val="2"/>
      </rPr>
      <t xml:space="preserve">　└ 認証 </t>
    </r>
    <r>
      <rPr>
        <sz val="10"/>
        <color rgb="FF090A0A"/>
        <rFont val="Noto Sans JP"/>
        <family val="0"/>
        <charset val="1"/>
      </rPr>
      <t xml:space="preserve">API </t>
    </r>
    <r>
      <rPr>
        <sz val="10"/>
        <color rgb="FF090A0A"/>
        <rFont val="游ゴシック体"/>
        <family val="2"/>
      </rPr>
      <t xml:space="preserve">連携・トークン管理</t>
    </r>
  </si>
  <si>
    <r>
      <rPr>
        <sz val="9"/>
        <color rgb="FF6C7072"/>
        <rFont val="游ゴシック体"/>
        <family val="2"/>
      </rPr>
      <t xml:space="preserve">ログイン </t>
    </r>
    <r>
      <rPr>
        <sz val="9"/>
        <color rgb="FF6C7072"/>
        <rFont val="Noto Sans JP"/>
        <family val="0"/>
        <charset val="1"/>
      </rPr>
      <t xml:space="preserve">API</t>
    </r>
    <r>
      <rPr>
        <sz val="9"/>
        <color rgb="FF6C7072"/>
        <rFont val="游ゴシック体"/>
        <family val="2"/>
      </rPr>
      <t xml:space="preserve">・セキュアストレージ・リフレッシュ</t>
    </r>
  </si>
  <si>
    <r>
      <rPr>
        <sz val="9"/>
        <color rgb="FF6C7072"/>
        <rFont val="Noto Sans JP"/>
        <family val="0"/>
        <charset val="1"/>
      </rPr>
      <t xml:space="preserve">API 2 </t>
    </r>
    <r>
      <rPr>
        <sz val="9"/>
        <color rgb="FF6C7072"/>
        <rFont val="游ゴシック体"/>
        <family val="2"/>
      </rPr>
      <t xml:space="preserve">本＋</t>
    </r>
    <r>
      <rPr>
        <sz val="9"/>
        <color rgb="FF6C7072"/>
        <rFont val="Noto Sans JP"/>
        <family val="0"/>
        <charset val="1"/>
      </rPr>
      <t xml:space="preserve">Keychain/Keystore</t>
    </r>
  </si>
  <si>
    <t xml:space="preserve">　└ パスワード再設定</t>
  </si>
  <si>
    <t xml:space="preserve">再設定メール送信・再設定画面</t>
  </si>
  <si>
    <t xml:space="preserve">標準フロー</t>
  </si>
  <si>
    <t xml:space="preserve">ホーム・一覧・詳細画面（※主要機能①に書き換え）</t>
  </si>
  <si>
    <t xml:space="preserve">この案件のコア機能に書き換えて使う</t>
  </si>
  <si>
    <t xml:space="preserve">登録・入力フォーム（※主要機能②に書き換え）</t>
  </si>
  <si>
    <t xml:space="preserve">マイページ・設定</t>
  </si>
  <si>
    <t xml:space="preserve">プロフィール・通知設定・利用規約表示 等</t>
  </si>
  <si>
    <t xml:space="preserve">標準画面群</t>
  </si>
  <si>
    <r>
      <rPr>
        <sz val="10"/>
        <color rgb="FF090A0A"/>
        <rFont val="Noto Sans JP"/>
        <family val="0"/>
        <charset val="1"/>
      </rPr>
      <t xml:space="preserve">API</t>
    </r>
    <r>
      <rPr>
        <sz val="10"/>
        <color rgb="FF090A0A"/>
        <rFont val="游ゴシック体"/>
        <family val="2"/>
      </rPr>
      <t xml:space="preserve">・サーバ</t>
    </r>
  </si>
  <si>
    <r>
      <rPr>
        <sz val="10"/>
        <color rgb="FF090A0A"/>
        <rFont val="Noto Sans JP"/>
        <family val="0"/>
        <charset val="1"/>
      </rPr>
      <t xml:space="preserve">API </t>
    </r>
    <r>
      <rPr>
        <sz val="10"/>
        <color rgb="FF090A0A"/>
        <rFont val="游ゴシック体"/>
        <family val="2"/>
      </rPr>
      <t xml:space="preserve">開発（サーバ側）</t>
    </r>
  </si>
  <si>
    <t xml:space="preserve">アプリ向けエンドポイントの実装</t>
  </si>
  <si>
    <t xml:space="preserve">エンドポイント数より</t>
  </si>
  <si>
    <r>
      <rPr>
        <sz val="10"/>
        <color rgb="FF090A0A"/>
        <rFont val="游ゴシック体"/>
        <family val="2"/>
      </rPr>
      <t xml:space="preserve">管理画面</t>
    </r>
    <r>
      <rPr>
        <sz val="10"/>
        <color rgb="FF090A0A"/>
        <rFont val="Noto Sans JP"/>
        <family val="0"/>
        <charset val="1"/>
      </rPr>
      <t xml:space="preserve">(CMS)</t>
    </r>
  </si>
  <si>
    <r>
      <rPr>
        <sz val="10"/>
        <color rgb="FF090A0A"/>
        <rFont val="游ゴシック体"/>
        <family val="2"/>
      </rPr>
      <t xml:space="preserve">管理画面（</t>
    </r>
    <r>
      <rPr>
        <sz val="10"/>
        <color rgb="FF090A0A"/>
        <rFont val="Noto Sans JP"/>
        <family val="0"/>
        <charset val="1"/>
      </rPr>
      <t xml:space="preserve">CMS</t>
    </r>
    <r>
      <rPr>
        <sz val="10"/>
        <color rgb="FF090A0A"/>
        <rFont val="游ゴシック体"/>
        <family val="2"/>
      </rPr>
      <t xml:space="preserve">）基本機能</t>
    </r>
  </si>
  <si>
    <r>
      <rPr>
        <sz val="9"/>
        <color rgb="FF6C7072"/>
        <rFont val="游ゴシック体"/>
        <family val="2"/>
      </rPr>
      <t xml:space="preserve">コンテンツ・ユーザー管理の基本 </t>
    </r>
    <r>
      <rPr>
        <sz val="9"/>
        <color rgb="FF6C7072"/>
        <rFont val="Noto Sans JP"/>
        <family val="0"/>
        <charset val="1"/>
      </rPr>
      <t xml:space="preserve">CRUD</t>
    </r>
  </si>
  <si>
    <t xml:space="preserve">管理項目数より</t>
  </si>
  <si>
    <t xml:space="preserve">プッシュ通知</t>
  </si>
  <si>
    <t xml:space="preserve">通知受信・一覧・既読管理</t>
  </si>
  <si>
    <r>
      <rPr>
        <sz val="9"/>
        <color rgb="FF6C7072"/>
        <rFont val="Noto Sans JP"/>
        <family val="0"/>
        <charset val="1"/>
      </rPr>
      <t xml:space="preserve">FCM </t>
    </r>
    <r>
      <rPr>
        <sz val="9"/>
        <color rgb="FF6C7072"/>
        <rFont val="游ゴシック体"/>
        <family val="2"/>
      </rPr>
      <t xml:space="preserve">標準構成</t>
    </r>
  </si>
  <si>
    <t xml:space="preserve">バッチ・定期処理</t>
  </si>
  <si>
    <t xml:space="preserve">集計・通知送信などの定期ジョブ</t>
  </si>
  <si>
    <t xml:space="preserve">本数より</t>
  </si>
  <si>
    <r>
      <rPr>
        <sz val="10"/>
        <color rgb="FF090A0A"/>
        <rFont val="游ゴシック体"/>
        <family val="2"/>
      </rPr>
      <t xml:space="preserve">外部サービス連携（決済・地図・</t>
    </r>
    <r>
      <rPr>
        <sz val="10"/>
        <color rgb="FF090A0A"/>
        <rFont val="Noto Sans JP"/>
        <family val="0"/>
        <charset val="1"/>
      </rPr>
      <t xml:space="preserve">SNS </t>
    </r>
    <r>
      <rPr>
        <sz val="10"/>
        <color rgb="FF090A0A"/>
        <rFont val="游ゴシック体"/>
        <family val="2"/>
      </rPr>
      <t xml:space="preserve">等）</t>
    </r>
  </si>
  <si>
    <t xml:space="preserve">連携先が確定したら要件を詰めて別途お見積もり</t>
  </si>
  <si>
    <r>
      <rPr>
        <sz val="9"/>
        <color rgb="FF6C7072"/>
        <rFont val="游ゴシック体"/>
        <family val="2"/>
      </rPr>
      <t xml:space="preserve">★スコープ未確定のため </t>
    </r>
    <r>
      <rPr>
        <sz val="9"/>
        <color rgb="FF6C7072"/>
        <rFont val="Noto Sans JP"/>
        <family val="0"/>
        <charset val="1"/>
      </rPr>
      <t xml:space="preserve">0 </t>
    </r>
    <r>
      <rPr>
        <sz val="9"/>
        <color rgb="FF6C7072"/>
        <rFont val="游ゴシック体"/>
        <family val="2"/>
      </rPr>
      <t xml:space="preserve">計上</t>
    </r>
  </si>
  <si>
    <t xml:space="preserve">★未確定</t>
  </si>
  <si>
    <t xml:space="preserve">テスト管理</t>
  </si>
  <si>
    <t xml:space="preserve">テストフェーズの進捗・不具合管理・品質ゲート</t>
  </si>
  <si>
    <t xml:space="preserve">テスト計画・項目作成</t>
  </si>
  <si>
    <t xml:space="preserve">テスト範囲・シナリオ・優先度の定義</t>
  </si>
  <si>
    <t xml:space="preserve">機能数より</t>
  </si>
  <si>
    <t xml:space="preserve">結合・システムテスト実施</t>
  </si>
  <si>
    <t xml:space="preserve">実施・不具合登録・再テスト・主要端末での実機確認</t>
  </si>
  <si>
    <r>
      <rPr>
        <sz val="9"/>
        <color rgb="FF6C7072"/>
        <rFont val="游ゴシック体"/>
        <family val="2"/>
      </rPr>
      <t xml:space="preserve">実装工数の約 </t>
    </r>
    <r>
      <rPr>
        <sz val="9"/>
        <color rgb="FF6C7072"/>
        <rFont val="Noto Sans JP"/>
        <family val="0"/>
        <charset val="1"/>
      </rPr>
      <t xml:space="preserve">25%</t>
    </r>
  </si>
  <si>
    <t xml:space="preserve">性能・セキュリティ観点の重点テスト</t>
  </si>
  <si>
    <t xml:space="preserve">非機能要件チェックで「対象」にした観点の確認</t>
  </si>
  <si>
    <t xml:space="preserve">非機能チェック連動</t>
  </si>
  <si>
    <t xml:space="preserve">受入テスト支援・不具合対応</t>
  </si>
  <si>
    <t xml:space="preserve">お客様受入期間中の問い合わせ・修正対応</t>
  </si>
  <si>
    <r>
      <rPr>
        <sz val="9"/>
        <color rgb="FF6C7072"/>
        <rFont val="游ゴシック体"/>
        <family val="2"/>
      </rPr>
      <t xml:space="preserve">受入 </t>
    </r>
    <r>
      <rPr>
        <sz val="9"/>
        <color rgb="FF6C7072"/>
        <rFont val="Noto Sans JP"/>
        <family val="0"/>
        <charset val="1"/>
      </rPr>
      <t xml:space="preserve">2 </t>
    </r>
    <r>
      <rPr>
        <sz val="9"/>
        <color rgb="FF6C7072"/>
        <rFont val="游ゴシック体"/>
        <family val="2"/>
      </rPr>
      <t xml:space="preserve">週間想定</t>
    </r>
  </si>
  <si>
    <t xml:space="preserve">脆弱性診断対応</t>
  </si>
  <si>
    <t xml:space="preserve">外部診断の指摘対応（診断自体の要否は要確認）</t>
  </si>
  <si>
    <t xml:space="preserve">診断要否を確認のうえ</t>
  </si>
  <si>
    <t xml:space="preserve">ストア申請・リリース作業</t>
  </si>
  <si>
    <r>
      <rPr>
        <sz val="9"/>
        <color rgb="FF6C7072"/>
        <rFont val="Noto Sans JP"/>
        <family val="0"/>
        <charset val="1"/>
      </rPr>
      <t xml:space="preserve">App Store / Google Play </t>
    </r>
    <r>
      <rPr>
        <sz val="9"/>
        <color rgb="FF6C7072"/>
        <rFont val="游ゴシック体"/>
        <family val="2"/>
      </rPr>
      <t xml:space="preserve">申請・審査対応・本番公開</t>
    </r>
  </si>
  <si>
    <r>
      <rPr>
        <sz val="10"/>
        <color rgb="FF090A0A"/>
        <rFont val="游ゴシック体"/>
        <family val="2"/>
      </rPr>
      <t xml:space="preserve">リリース後初期サポート（</t>
    </r>
    <r>
      <rPr>
        <sz val="10"/>
        <color rgb="FF090A0A"/>
        <rFont val="Noto Sans JP"/>
        <family val="0"/>
        <charset val="1"/>
      </rPr>
      <t xml:space="preserve">2 </t>
    </r>
    <r>
      <rPr>
        <sz val="10"/>
        <color rgb="FF090A0A"/>
        <rFont val="游ゴシック体"/>
        <family val="2"/>
      </rPr>
      <t xml:space="preserve">週間）</t>
    </r>
  </si>
  <si>
    <t xml:space="preserve">リリース直後の障害・問い合わせ一次対応</t>
  </si>
  <si>
    <r>
      <rPr>
        <b val="true"/>
        <sz val="10"/>
        <color rgb="FF0066FF"/>
        <rFont val="游ゴシック体"/>
        <family val="2"/>
      </rPr>
      <t xml:space="preserve">⏭ 次にやること</t>
    </r>
    <r>
      <rPr>
        <b val="true"/>
        <sz val="10"/>
        <color rgb="FF0066FF"/>
        <rFont val="Noto Sans JP"/>
        <family val="0"/>
        <charset val="1"/>
      </rPr>
      <t xml:space="preserve">: ① </t>
    </r>
    <r>
      <rPr>
        <b val="true"/>
        <sz val="10"/>
        <color rgb="FF0066FF"/>
        <rFont val="游ゴシック体"/>
        <family val="2"/>
      </rPr>
      <t xml:space="preserve">隣の「見積サマリ」で金額を確認 → ② 🔍 抜け漏れ・非機能を ✅ に（右側）→ ③ 👤 利益率を確認 → ④ 🔔 上長・</t>
    </r>
    <r>
      <rPr>
        <b val="true"/>
        <sz val="10"/>
        <color rgb="FF0066FF"/>
        <rFont val="Noto Sans JP"/>
        <family val="0"/>
        <charset val="1"/>
      </rPr>
      <t xml:space="preserve">PM </t>
    </r>
    <r>
      <rPr>
        <b val="true"/>
        <sz val="10"/>
        <color rgb="FF0066FF"/>
        <rFont val="游ゴシック体"/>
        <family val="2"/>
      </rPr>
      <t xml:space="preserve">のレビュー（</t>
    </r>
    <r>
      <rPr>
        <b val="true"/>
        <sz val="10"/>
        <color rgb="FF0066FF"/>
        <rFont val="Noto Sans JP"/>
        <family val="0"/>
        <charset val="1"/>
      </rPr>
      <t xml:space="preserve">Rule 13</t>
    </r>
    <r>
      <rPr>
        <b val="true"/>
        <sz val="10"/>
        <color rgb="FF0066FF"/>
        <rFont val="游ゴシック体"/>
        <family val="2"/>
      </rPr>
      <t xml:space="preserve">）→ ⑤ 📤 顧客提出は </t>
    </r>
    <r>
      <rPr>
        <b val="true"/>
        <sz val="10"/>
        <color rgb="FF0066FF"/>
        <rFont val="Noto Sans JP"/>
        <family val="0"/>
        <charset val="1"/>
      </rPr>
      <t xml:space="preserve">AI </t>
    </r>
    <r>
      <rPr>
        <b val="true"/>
        <sz val="10"/>
        <color rgb="FF0066FF"/>
        <rFont val="游ゴシック体"/>
        <family val="2"/>
      </rPr>
      <t xml:space="preserve">に「提出用の </t>
    </r>
    <r>
      <rPr>
        <b val="true"/>
        <sz val="10"/>
        <color rgb="FF0066FF"/>
        <rFont val="Noto Sans JP"/>
        <family val="0"/>
        <charset val="1"/>
      </rPr>
      <t xml:space="preserve">HTML / PDF </t>
    </r>
    <r>
      <rPr>
        <b val="true"/>
        <sz val="10"/>
        <color rgb="FF0066FF"/>
        <rFont val="游ゴシック体"/>
        <family val="2"/>
      </rPr>
      <t xml:space="preserve">を生成して」と依頼（</t>
    </r>
    <r>
      <rPr>
        <b val="true"/>
        <sz val="10"/>
        <color rgb="FF0066FF"/>
        <rFont val="Noto Sans JP"/>
        <family val="0"/>
        <charset val="1"/>
      </rPr>
      <t xml:space="preserve">or </t>
    </r>
    <r>
      <rPr>
        <b val="true"/>
        <sz val="10"/>
        <color rgb="FF0066FF"/>
        <rFont val="游ゴシック体"/>
        <family val="2"/>
      </rPr>
      <t xml:space="preserve">社内列を隠して </t>
    </r>
    <r>
      <rPr>
        <b val="true"/>
        <sz val="10"/>
        <color rgb="FF0066FF"/>
        <rFont val="Noto Sans JP"/>
        <family val="0"/>
        <charset val="1"/>
      </rPr>
      <t xml:space="preserve">A:I </t>
    </r>
    <r>
      <rPr>
        <b val="true"/>
        <sz val="10"/>
        <color rgb="FF0066FF"/>
        <rFont val="游ゴシック体"/>
        <family val="2"/>
      </rPr>
      <t xml:space="preserve">を </t>
    </r>
    <r>
      <rPr>
        <b val="true"/>
        <sz val="10"/>
        <color rgb="FF0066FF"/>
        <rFont val="Noto Sans JP"/>
        <family val="0"/>
        <charset val="1"/>
      </rPr>
      <t xml:space="preserve">PDF</t>
    </r>
    <r>
      <rPr>
        <b val="true"/>
        <sz val="10"/>
        <color rgb="FF0066FF"/>
        <rFont val="游ゴシック体"/>
        <family val="2"/>
      </rPr>
      <t xml:space="preserve">）</t>
    </r>
  </si>
  <si>
    <t xml:space="preserve">📅 スケジュール（全体・動的）</t>
  </si>
  <si>
    <r>
      <rPr>
        <sz val="9"/>
        <color rgb="FF6C7072"/>
        <rFont val="游ゴシック体"/>
        <family val="2"/>
      </rPr>
      <t xml:space="preserve">青いセル（開始日・人数・工数・開始ラグ・審査待ち日数）を変えると、開始</t>
    </r>
    <r>
      <rPr>
        <sz val="9"/>
        <color rgb="FF6C7072"/>
        <rFont val="Noto Sans JP"/>
        <family val="0"/>
        <charset val="1"/>
      </rPr>
      <t xml:space="preserve">/</t>
    </r>
    <r>
      <rPr>
        <sz val="9"/>
        <color rgb="FF6C7072"/>
        <rFont val="游ゴシック体"/>
        <family val="2"/>
      </rPr>
      <t xml:space="preserve">終了日・ガント・総期間が自動で動きます。工数が数式の工程は見積明細と連動（計上－にすると期間も自動短縮）。既定は「前の工程が終わったら次を開始」の直列（最長ケース）。並走・前倒しは開始ラグを上書き。</t>
    </r>
  </si>
  <si>
    <t xml:space="preserve">⚙ プロジェクト設定</t>
  </si>
  <si>
    <t xml:space="preserve">プロジェクト開始日</t>
  </si>
  <si>
    <t xml:space="preserve">👥 並走人数（役割ごと）</t>
  </si>
  <si>
    <t xml:space="preserve">役割</t>
  </si>
  <si>
    <t xml:space="preserve">人数</t>
  </si>
  <si>
    <t xml:space="preserve">-</t>
  </si>
  <si>
    <r>
      <rPr>
        <sz val="9"/>
        <color rgb="FF6C7072"/>
        <rFont val="游ゴシック体"/>
        <family val="2"/>
      </rPr>
      <t xml:space="preserve">※「</t>
    </r>
    <r>
      <rPr>
        <sz val="9"/>
        <color rgb="FF6C7072"/>
        <rFont val="Noto Sans JP"/>
        <family val="0"/>
        <charset val="1"/>
      </rPr>
      <t xml:space="preserve">-</t>
    </r>
    <r>
      <rPr>
        <sz val="9"/>
        <color rgb="FF6C7072"/>
        <rFont val="游ゴシック体"/>
        <family val="2"/>
      </rPr>
      <t xml:space="preserve">」＝役割未指定の工程（人数はこの行を使用）</t>
    </r>
  </si>
  <si>
    <t xml:space="preserve">📅 スケジュール表（自動計算）</t>
  </si>
  <si>
    <t xml:space="preserve">工程</t>
  </si>
  <si>
    <t xml:space="preserve">並走人数</t>
  </si>
  <si>
    <t xml:space="preserve">営業日</t>
  </si>
  <si>
    <r>
      <rPr>
        <b val="true"/>
        <sz val="10"/>
        <color rgb="FFFFFFFF"/>
        <rFont val="游ゴシック体"/>
        <family val="2"/>
      </rPr>
      <t xml:space="preserve">開始ラグ</t>
    </r>
    <r>
      <rPr>
        <b val="true"/>
        <sz val="10"/>
        <color rgb="FFFFFFFF"/>
        <rFont val="Noto Sans JP"/>
        <family val="0"/>
        <charset val="1"/>
      </rPr>
      <t xml:space="preserve">(</t>
    </r>
    <r>
      <rPr>
        <b val="true"/>
        <sz val="10"/>
        <color rgb="FFFFFFFF"/>
        <rFont val="游ゴシック体"/>
        <family val="2"/>
      </rPr>
      <t xml:space="preserve">営業日</t>
    </r>
    <r>
      <rPr>
        <b val="true"/>
        <sz val="10"/>
        <color rgb="FFFFFFFF"/>
        <rFont val="Noto Sans JP"/>
        <family val="0"/>
        <charset val="1"/>
      </rPr>
      <t xml:space="preserve">)</t>
    </r>
  </si>
  <si>
    <t xml:space="preserve">開始日</t>
  </si>
  <si>
    <t xml:space="preserve">終了日</t>
  </si>
  <si>
    <t xml:space="preserve">必要月数</t>
  </si>
  <si>
    <t xml:space="preserve">BS</t>
  </si>
  <si>
    <t xml:space="preserve">受入テスト（貴社にて実施）</t>
  </si>
  <si>
    <t xml:space="preserve">貴社</t>
  </si>
  <si>
    <t xml:space="preserve">ストア申請・審査待ち</t>
  </si>
  <si>
    <t xml:space="preserve">審査待</t>
  </si>
  <si>
    <t xml:space="preserve">リリース（本番公開）</t>
  </si>
  <si>
    <t xml:space="preserve">🏁 プロジェクト終了日</t>
  </si>
  <si>
    <t xml:space="preserve">総期間（営業日）</t>
  </si>
  <si>
    <t xml:space="preserve">総期間（カ月）</t>
  </si>
  <si>
    <r>
      <rPr>
        <sz val="9"/>
        <color rgb="FF6C7072"/>
        <rFont val="游ゴシック体"/>
        <family val="2"/>
      </rPr>
      <t xml:space="preserve">凡例</t>
    </r>
    <r>
      <rPr>
        <sz val="9"/>
        <color rgb="FF6C7072"/>
        <rFont val="Noto Sans JP"/>
        <family val="0"/>
        <charset val="1"/>
      </rPr>
      <t xml:space="preserve">: </t>
    </r>
  </si>
  <si>
    <r>
      <rPr>
        <sz val="9"/>
        <color rgb="FF6C7072"/>
        <rFont val="游ゴシック体"/>
        <family val="2"/>
      </rPr>
      <t xml:space="preserve">※ ガントは </t>
    </r>
    <r>
      <rPr>
        <sz val="9"/>
        <color rgb="FF6C7072"/>
        <rFont val="Noto Sans JP"/>
        <family val="0"/>
        <charset val="1"/>
      </rPr>
      <t xml:space="preserve">18 </t>
    </r>
    <r>
      <rPr>
        <sz val="9"/>
        <color rgb="FF6C7072"/>
        <rFont val="游ゴシック体"/>
        <family val="2"/>
      </rPr>
      <t xml:space="preserve">ヶ月分。超える場合は </t>
    </r>
    <r>
      <rPr>
        <sz val="9"/>
        <color rgb="FF6C7072"/>
        <rFont val="Noto Sans JP"/>
        <family val="0"/>
        <charset val="1"/>
      </rPr>
      <t xml:space="preserve">AB </t>
    </r>
    <r>
      <rPr>
        <sz val="9"/>
        <color rgb="FF6C7072"/>
        <rFont val="游ゴシック体"/>
        <family val="2"/>
      </rPr>
      <t xml:space="preserve">列を右へコピー</t>
    </r>
  </si>
  <si>
    <t xml:space="preserve">共同</t>
  </si>
  <si>
    <r>
      <rPr>
        <b val="true"/>
        <sz val="10"/>
        <color rgb="FF0066FF"/>
        <rFont val="游ゴシック体"/>
        <family val="2"/>
      </rPr>
      <t xml:space="preserve">⏭ 次にやること</t>
    </r>
    <r>
      <rPr>
        <b val="true"/>
        <sz val="10"/>
        <color rgb="FF0066FF"/>
        <rFont val="Noto Sans JP"/>
        <family val="0"/>
        <charset val="1"/>
      </rPr>
      <t xml:space="preserve">: </t>
    </r>
    <r>
      <rPr>
        <b val="true"/>
        <sz val="10"/>
        <color rgb="FF0066FF"/>
        <rFont val="游ゴシック体"/>
        <family val="2"/>
      </rPr>
      <t xml:space="preserve">総期間とリリース日を確認 → お客様向けの月次ガントは </t>
    </r>
    <r>
      <rPr>
        <b val="true"/>
        <sz val="10"/>
        <color rgb="FF0066FF"/>
        <rFont val="Noto Sans JP"/>
        <family val="0"/>
        <charset val="1"/>
      </rPr>
      <t xml:space="preserve">AI </t>
    </r>
    <r>
      <rPr>
        <b val="true"/>
        <sz val="10"/>
        <color rgb="FF0066FF"/>
        <rFont val="游ゴシック体"/>
        <family val="2"/>
      </rPr>
      <t xml:space="preserve">に「提出用スケジュール（</t>
    </r>
    <r>
      <rPr>
        <b val="true"/>
        <sz val="10"/>
        <color rgb="FF0066FF"/>
        <rFont val="Noto Sans JP"/>
        <family val="0"/>
        <charset val="1"/>
      </rPr>
      <t xml:space="preserve">HTML</t>
    </r>
    <r>
      <rPr>
        <b val="true"/>
        <sz val="10"/>
        <color rgb="FF0066FF"/>
        <rFont val="游ゴシック体"/>
        <family val="2"/>
      </rPr>
      <t xml:space="preserve">）を生成して」と依頼</t>
    </r>
  </si>
  <si>
    <t xml:space="preserve">🗣 ヒアリングシート（観点チェック）— 人は「確認」に ✓ を付けるだけ</t>
  </si>
  <si>
    <r>
      <rPr>
        <sz val="9"/>
        <color rgb="FF6C7072"/>
        <rFont val="游ゴシック体"/>
        <family val="2"/>
      </rPr>
      <t xml:space="preserve">見積もりから分かる項目は </t>
    </r>
    <r>
      <rPr>
        <sz val="9"/>
        <color rgb="FF6C7072"/>
        <rFont val="Noto Sans JP"/>
        <family val="0"/>
        <charset val="1"/>
      </rPr>
      <t xml:space="preserve">AI </t>
    </r>
    <r>
      <rPr>
        <sz val="9"/>
        <color rgb="FF6C7072"/>
        <rFont val="游ゴシック体"/>
        <family val="2"/>
      </rPr>
      <t xml:space="preserve">が回答を事前記入済み（水色セル＝要確認・修正可）。全項目に回答する必要はありません。観点漏れ防止のため『確認』列に ✓ だけ付けてください（✓ で行の色が変わります）。</t>
    </r>
  </si>
  <si>
    <t xml:space="preserve">確認</t>
  </si>
  <si>
    <t xml:space="preserve">#</t>
  </si>
  <si>
    <t xml:space="preserve">内容・目的</t>
  </si>
  <si>
    <r>
      <rPr>
        <b val="true"/>
        <sz val="10"/>
        <color rgb="FFFFFFFF"/>
        <rFont val="游ゴシック体"/>
        <family val="2"/>
      </rPr>
      <t xml:space="preserve">回答（分かる範囲で</t>
    </r>
    <r>
      <rPr>
        <b val="true"/>
        <sz val="10"/>
        <color rgb="FFFFFFFF"/>
        <rFont val="Noto Sans JP"/>
        <family val="0"/>
        <charset val="1"/>
      </rPr>
      <t xml:space="preserve">OK</t>
    </r>
    <r>
      <rPr>
        <b val="true"/>
        <sz val="10"/>
        <color rgb="FFFFFFFF"/>
        <rFont val="游ゴシック体"/>
        <family val="2"/>
      </rPr>
      <t xml:space="preserve">）</t>
    </r>
  </si>
  <si>
    <t xml:space="preserve">プロジェクト基本情報</t>
  </si>
  <si>
    <t xml:space="preserve">クライアント名</t>
  </si>
  <si>
    <t xml:space="preserve">【内容】正式名称、担当部署
【目的】見積書や契約書の宛先として必要。</t>
  </si>
  <si>
    <r>
      <rPr>
        <sz val="10"/>
        <color rgb="FF090A0A"/>
        <rFont val="游ゴシック体"/>
        <family val="2"/>
      </rPr>
      <t xml:space="preserve">アプリ名称</t>
    </r>
    <r>
      <rPr>
        <sz val="10"/>
        <color rgb="FF090A0A"/>
        <rFont val="Noto Sans JP"/>
        <family val="0"/>
        <charset val="1"/>
      </rPr>
      <t xml:space="preserve">(</t>
    </r>
    <r>
      <rPr>
        <sz val="10"/>
        <color rgb="FF090A0A"/>
        <rFont val="游ゴシック体"/>
        <family val="2"/>
      </rPr>
      <t xml:space="preserve">仮</t>
    </r>
    <r>
      <rPr>
        <sz val="10"/>
        <color rgb="FF090A0A"/>
        <rFont val="Noto Sans JP"/>
        <family val="0"/>
        <charset val="1"/>
      </rPr>
      <t xml:space="preserve">)</t>
    </r>
  </si>
  <si>
    <t xml:space="preserve">【内容】プロジェクトの仮称または正式名称
【目的】共通言語として使用するため。</t>
  </si>
  <si>
    <t xml:space="preserve">システム化の背景</t>
  </si>
  <si>
    <t xml:space="preserve">【内容】なぜこのプロジェクトが必要になったのか。現状の課題。
【目的】プロジェクトの根本的な目的を理解し、最適な解決策を提案する。</t>
  </si>
  <si>
    <t xml:space="preserve">プロジェクトの目的とゴール</t>
  </si>
  <si>
    <r>
      <rPr>
        <sz val="9"/>
        <color rgb="FF6C7072"/>
        <rFont val="游ゴシック体"/>
        <family val="2"/>
      </rPr>
      <t xml:space="preserve">【内容】このプロジェクトで達成したい具体的な成果</t>
    </r>
    <r>
      <rPr>
        <sz val="9"/>
        <color rgb="FF6C7072"/>
        <rFont val="Noto Sans JP"/>
        <family val="0"/>
        <charset val="1"/>
      </rPr>
      <t xml:space="preserve">(</t>
    </r>
    <r>
      <rPr>
        <sz val="9"/>
        <color rgb="FF6C7072"/>
        <rFont val="游ゴシック体"/>
        <family val="2"/>
      </rPr>
      <t xml:space="preserve">売上</t>
    </r>
    <r>
      <rPr>
        <sz val="9"/>
        <color rgb="FF6C7072"/>
        <rFont val="Noto Sans JP"/>
        <family val="0"/>
        <charset val="1"/>
      </rPr>
      <t xml:space="preserve">UP</t>
    </r>
    <r>
      <rPr>
        <sz val="9"/>
        <color rgb="FF6C7072"/>
        <rFont val="游ゴシック体"/>
        <family val="2"/>
      </rPr>
      <t xml:space="preserve">、効率化など</t>
    </r>
    <r>
      <rPr>
        <sz val="9"/>
        <color rgb="FF6C7072"/>
        <rFont val="Noto Sans JP"/>
        <family val="0"/>
        <charset val="1"/>
      </rPr>
      <t xml:space="preserve">)</t>
    </r>
    <r>
      <rPr>
        <sz val="9"/>
        <color rgb="FF6C7072"/>
        <rFont val="游ゴシック体"/>
        <family val="2"/>
      </rPr>
      <t xml:space="preserve">。
【目的】機能の優先順位付けや、成功を定義する上での基準とする。</t>
    </r>
  </si>
  <si>
    <r>
      <rPr>
        <sz val="10"/>
        <color rgb="FF090A0A"/>
        <rFont val="Noto Sans JP"/>
        <family val="0"/>
        <charset val="1"/>
      </rPr>
      <t xml:space="preserve">RFP(</t>
    </r>
    <r>
      <rPr>
        <sz val="10"/>
        <color rgb="FF090A0A"/>
        <rFont val="游ゴシック体"/>
        <family val="2"/>
      </rPr>
      <t xml:space="preserve">提案依頼書</t>
    </r>
    <r>
      <rPr>
        <sz val="10"/>
        <color rgb="FF090A0A"/>
        <rFont val="Noto Sans JP"/>
        <family val="0"/>
        <charset val="1"/>
      </rPr>
      <t xml:space="preserve">)</t>
    </r>
    <r>
      <rPr>
        <sz val="10"/>
        <color rgb="FF090A0A"/>
        <rFont val="游ゴシック体"/>
        <family val="2"/>
      </rPr>
      <t xml:space="preserve">の有無</t>
    </r>
  </si>
  <si>
    <t xml:space="preserve">【内容】プロジェクトの目的や要件がまとまった公式な資料の有無。
【目的】要求事項の明確度を判断し、初期の要件整理工数を見積もるため。</t>
  </si>
  <si>
    <r>
      <rPr>
        <sz val="10"/>
        <color rgb="FF090A0A"/>
        <rFont val="游ゴシック体"/>
        <family val="2"/>
      </rPr>
      <t xml:space="preserve">技術的な実現可能性の調査</t>
    </r>
    <r>
      <rPr>
        <sz val="10"/>
        <color rgb="FF090A0A"/>
        <rFont val="Noto Sans JP"/>
        <family val="0"/>
        <charset val="1"/>
      </rPr>
      <t xml:space="preserve">(PoC)</t>
    </r>
    <r>
      <rPr>
        <sz val="10"/>
        <color rgb="FF090A0A"/>
        <rFont val="游ゴシック体"/>
        <family val="2"/>
      </rPr>
      <t xml:space="preserve">の要否</t>
    </r>
  </si>
  <si>
    <r>
      <rPr>
        <sz val="9"/>
        <color rgb="FF6C7072"/>
        <rFont val="游ゴシック体"/>
        <family val="2"/>
      </rPr>
      <t xml:space="preserve">【内容】</t>
    </r>
    <r>
      <rPr>
        <sz val="9"/>
        <color rgb="FF6C7072"/>
        <rFont val="Noto Sans JP"/>
        <family val="0"/>
        <charset val="1"/>
      </rPr>
      <t xml:space="preserve">AI</t>
    </r>
    <r>
      <rPr>
        <sz val="9"/>
        <color rgb="FF6C7072"/>
        <rFont val="游ゴシック体"/>
        <family val="2"/>
      </rPr>
      <t xml:space="preserve">、画像解析、特殊なハードウェア連携など、技術的に不確実性の高い機能はあるか。
【目的】本開発とは別で、小規模な試作</t>
    </r>
    <r>
      <rPr>
        <sz val="9"/>
        <color rgb="FF6C7072"/>
        <rFont val="Noto Sans JP"/>
        <family val="0"/>
        <charset val="1"/>
      </rPr>
      <t xml:space="preserve">(PoC)</t>
    </r>
    <r>
      <rPr>
        <sz val="9"/>
        <color rgb="FF6C7072"/>
        <rFont val="游ゴシック体"/>
        <family val="2"/>
      </rPr>
      <t xml:space="preserve">による実現性検証が必要か判断する。本開発の見積もりとは別の工数・費用となるため、最初に確認が必須。</t>
    </r>
  </si>
  <si>
    <t xml:space="preserve">成功指標と計測</t>
  </si>
  <si>
    <r>
      <rPr>
        <sz val="10"/>
        <color rgb="FF090A0A"/>
        <rFont val="游ゴシック体"/>
        <family val="2"/>
      </rPr>
      <t xml:space="preserve">成功指標</t>
    </r>
    <r>
      <rPr>
        <sz val="10"/>
        <color rgb="FF090A0A"/>
        <rFont val="Noto Sans JP"/>
        <family val="0"/>
        <charset val="1"/>
      </rPr>
      <t xml:space="preserve">(KGI/KPI)</t>
    </r>
  </si>
  <si>
    <t xml:space="preserve">【内容】このプロジェクトが成功したと判断する具体的な数値目標と達成時期
【目的】合意した達成基準を元に、機能の優先順位やスコープを判断・調整するため。「作って終わり」を防ぐ。</t>
  </si>
  <si>
    <t xml:space="preserve">アクセス解析ツールの導入</t>
  </si>
  <si>
    <r>
      <rPr>
        <sz val="9"/>
        <color rgb="FF6C7072"/>
        <rFont val="游ゴシック体"/>
        <family val="2"/>
      </rPr>
      <t xml:space="preserve">【内容】利用状況の分析</t>
    </r>
    <r>
      <rPr>
        <sz val="9"/>
        <color rgb="FF6C7072"/>
        <rFont val="Noto Sans JP"/>
        <family val="0"/>
        <charset val="1"/>
      </rPr>
      <t xml:space="preserve">(</t>
    </r>
    <r>
      <rPr>
        <sz val="9"/>
        <color rgb="FF6C7072"/>
        <rFont val="游ゴシック体"/>
        <family val="2"/>
      </rPr>
      <t xml:space="preserve">どの画面がよく見られているか、など</t>
    </r>
    <r>
      <rPr>
        <sz val="9"/>
        <color rgb="FF6C7072"/>
        <rFont val="Noto Sans JP"/>
        <family val="0"/>
        <charset val="1"/>
      </rPr>
      <t xml:space="preserve">)</t>
    </r>
    <r>
      <rPr>
        <sz val="9"/>
        <color rgb="FF6C7072"/>
        <rFont val="游ゴシック体"/>
        <family val="2"/>
      </rPr>
      <t xml:space="preserve">のために、専用のツールを導入するか。
【目的】解析ツールの</t>
    </r>
    <r>
      <rPr>
        <sz val="9"/>
        <color rgb="FF6C7072"/>
        <rFont val="Noto Sans JP"/>
        <family val="0"/>
        <charset val="1"/>
      </rPr>
      <t xml:space="preserve">SDK</t>
    </r>
    <r>
      <rPr>
        <sz val="9"/>
        <color rgb="FF6C7072"/>
        <rFont val="游ゴシック体"/>
        <family val="2"/>
      </rPr>
      <t xml:space="preserve">組み込みや、計測したいイベント</t>
    </r>
    <r>
      <rPr>
        <sz val="9"/>
        <color rgb="FF6C7072"/>
        <rFont val="Noto Sans JP"/>
        <family val="0"/>
        <charset val="1"/>
      </rPr>
      <t xml:space="preserve">(</t>
    </r>
    <r>
      <rPr>
        <sz val="9"/>
        <color rgb="FF6C7072"/>
        <rFont val="游ゴシック体"/>
        <family val="2"/>
      </rPr>
      <t xml:space="preserve">ボタンクリックなど</t>
    </r>
    <r>
      <rPr>
        <sz val="9"/>
        <color rgb="FF6C7072"/>
        <rFont val="Noto Sans JP"/>
        <family val="0"/>
        <charset val="1"/>
      </rPr>
      <t xml:space="preserve">)</t>
    </r>
    <r>
      <rPr>
        <sz val="9"/>
        <color rgb="FF6C7072"/>
        <rFont val="游ゴシック体"/>
        <family val="2"/>
      </rPr>
      <t xml:space="preserve">の設計・実装に追加の工数がかかるため。</t>
    </r>
  </si>
  <si>
    <t xml:space="preserve">体制とガバナンス</t>
  </si>
  <si>
    <t xml:space="preserve">クライアント側専任担当者</t>
  </si>
  <si>
    <t xml:space="preserve">【内容】プロジェクトの窓口となる担当者の有無。
【目的】専任担当者がいない場合、コミュニケーションコストや意思決定の遅延が予想され、工数に影響する。</t>
  </si>
  <si>
    <t xml:space="preserve">意思決定プロセス</t>
  </si>
  <si>
    <r>
      <rPr>
        <sz val="9"/>
        <color rgb="FF6C7072"/>
        <rFont val="游ゴシック体"/>
        <family val="2"/>
      </rPr>
      <t xml:space="preserve">【内容】仕様変更や追加費用の承認は、誰が、どのようなプロセス</t>
    </r>
    <r>
      <rPr>
        <sz val="9"/>
        <color rgb="FF6C7072"/>
        <rFont val="Noto Sans JP"/>
        <family val="0"/>
        <charset val="1"/>
      </rPr>
      <t xml:space="preserve">(</t>
    </r>
    <r>
      <rPr>
        <sz val="9"/>
        <color rgb="FF6C7072"/>
        <rFont val="游ゴシック体"/>
        <family val="2"/>
      </rPr>
      <t xml:space="preserve">稟議など</t>
    </r>
    <r>
      <rPr>
        <sz val="9"/>
        <color rgb="FF6C7072"/>
        <rFont val="Noto Sans JP"/>
        <family val="0"/>
        <charset val="1"/>
      </rPr>
      <t xml:space="preserve">)</t>
    </r>
    <r>
      <rPr>
        <sz val="9"/>
        <color rgb="FF6C7072"/>
        <rFont val="游ゴシック体"/>
        <family val="2"/>
      </rPr>
      <t xml:space="preserve">で行うか。
【目的】承認階層やプロセスが複雑な場合、手戻りや意思決定の遅延がスケジュールに大きく影響するため、事前に把握しておく必要がある。</t>
    </r>
  </si>
  <si>
    <r>
      <rPr>
        <b val="true"/>
        <sz val="10"/>
        <color rgb="FF090A0A"/>
        <rFont val="游ゴシック体"/>
        <family val="2"/>
      </rPr>
      <t xml:space="preserve">スコープ</t>
    </r>
    <r>
      <rPr>
        <b val="true"/>
        <sz val="10"/>
        <color rgb="FF090A0A"/>
        <rFont val="Noto Sans JP"/>
        <family val="0"/>
        <charset val="1"/>
      </rPr>
      <t xml:space="preserve">(</t>
    </r>
    <r>
      <rPr>
        <b val="true"/>
        <sz val="10"/>
        <color rgb="FF090A0A"/>
        <rFont val="游ゴシック体"/>
        <family val="2"/>
      </rPr>
      <t xml:space="preserve">機能要件</t>
    </r>
    <r>
      <rPr>
        <b val="true"/>
        <sz val="10"/>
        <color rgb="FF090A0A"/>
        <rFont val="Noto Sans JP"/>
        <family val="0"/>
        <charset val="1"/>
      </rPr>
      <t xml:space="preserve">)</t>
    </r>
  </si>
  <si>
    <r>
      <rPr>
        <sz val="10"/>
        <color rgb="FF090A0A"/>
        <rFont val="游ゴシック体"/>
        <family val="2"/>
      </rPr>
      <t xml:space="preserve">機能一覧</t>
    </r>
    <r>
      <rPr>
        <sz val="10"/>
        <color rgb="FF090A0A"/>
        <rFont val="Noto Sans JP"/>
        <family val="0"/>
        <charset val="1"/>
      </rPr>
      <t xml:space="preserve">(</t>
    </r>
    <r>
      <rPr>
        <sz val="10"/>
        <color rgb="FF090A0A"/>
        <rFont val="游ゴシック体"/>
        <family val="2"/>
      </rPr>
      <t xml:space="preserve">マスト</t>
    </r>
    <r>
      <rPr>
        <sz val="10"/>
        <color rgb="FF090A0A"/>
        <rFont val="Noto Sans JP"/>
        <family val="0"/>
        <charset val="1"/>
      </rPr>
      <t xml:space="preserve">/</t>
    </r>
    <r>
      <rPr>
        <sz val="10"/>
        <color rgb="FF090A0A"/>
        <rFont val="游ゴシック体"/>
        <family val="2"/>
      </rPr>
      <t xml:space="preserve">ウォント</t>
    </r>
    <r>
      <rPr>
        <sz val="10"/>
        <color rgb="FF090A0A"/>
        <rFont val="Noto Sans JP"/>
        <family val="0"/>
        <charset val="1"/>
      </rPr>
      <t xml:space="preserve">)</t>
    </r>
  </si>
  <si>
    <t xml:space="preserve">【内容】実装したい機能の洗い出し。必須機能と希望機能を分けておく。
【目的】スコープ確定・見積もりの基礎とする。</t>
  </si>
  <si>
    <t xml:space="preserve">管理画面の有無</t>
  </si>
  <si>
    <t xml:space="preserve">【内容】運営者が使用する管理機能の要否。
【目的】「有」の場合、別アプリ相当の設計・開発・テスト工数が追加で必要になるため。</t>
  </si>
  <si>
    <t xml:space="preserve">有（管理画面を見積に計上）</t>
  </si>
  <si>
    <r>
      <rPr>
        <sz val="10"/>
        <color rgb="FF090A0A"/>
        <rFont val="游ゴシック体"/>
        <family val="2"/>
      </rPr>
      <t xml:space="preserve">アプリ内課金</t>
    </r>
    <r>
      <rPr>
        <sz val="10"/>
        <color rgb="FF090A0A"/>
        <rFont val="Noto Sans JP"/>
        <family val="0"/>
        <charset val="1"/>
      </rPr>
      <t xml:space="preserve">(IAP)/</t>
    </r>
    <r>
      <rPr>
        <sz val="10"/>
        <color rgb="FF090A0A"/>
        <rFont val="游ゴシック体"/>
        <family val="2"/>
      </rPr>
      <t xml:space="preserve">決済</t>
    </r>
  </si>
  <si>
    <r>
      <rPr>
        <sz val="9"/>
        <color rgb="FF6C7072"/>
        <rFont val="游ゴシック体"/>
        <family val="2"/>
      </rPr>
      <t xml:space="preserve">【内容】</t>
    </r>
    <r>
      <rPr>
        <sz val="9"/>
        <color rgb="FF6C7072"/>
        <rFont val="Noto Sans JP"/>
        <family val="0"/>
        <charset val="1"/>
      </rPr>
      <t xml:space="preserve">App Store/Google Play</t>
    </r>
    <r>
      <rPr>
        <sz val="9"/>
        <color rgb="FF6C7072"/>
        <rFont val="游ゴシック体"/>
        <family val="2"/>
      </rPr>
      <t xml:space="preserve">経由での課金や、クレジットカード決済などが必要か。
【目的】決済機能は審査が厳しく、返金ポリシーなどの運用ルール設計も必要になるため、プロジェクトの難易度と工数が大幅に増加する。</t>
    </r>
  </si>
  <si>
    <r>
      <rPr>
        <sz val="10"/>
        <color rgb="FF090A0A"/>
        <rFont val="游ゴシック体"/>
        <family val="2"/>
      </rPr>
      <t xml:space="preserve">有（決済</t>
    </r>
    <r>
      <rPr>
        <sz val="10"/>
        <color rgb="FF090A0A"/>
        <rFont val="Noto Sans JP"/>
        <family val="0"/>
        <charset val="1"/>
      </rPr>
      <t xml:space="preserve">/</t>
    </r>
    <r>
      <rPr>
        <sz val="10"/>
        <color rgb="FF090A0A"/>
        <rFont val="游ゴシック体"/>
        <family val="2"/>
      </rPr>
      <t xml:space="preserve">課金関連を計上）</t>
    </r>
  </si>
  <si>
    <t xml:space="preserve">マネタイズの軸</t>
  </si>
  <si>
    <r>
      <rPr>
        <sz val="9"/>
        <color rgb="FF6C7072"/>
        <rFont val="游ゴシック体"/>
        <family val="2"/>
      </rPr>
      <t xml:space="preserve">【内容】アプリ内課金、広告、サブスクリプション、</t>
    </r>
    <r>
      <rPr>
        <sz val="9"/>
        <color rgb="FF6C7072"/>
        <rFont val="Noto Sans JP"/>
        <family val="0"/>
        <charset val="1"/>
      </rPr>
      <t xml:space="preserve">EC</t>
    </r>
    <r>
      <rPr>
        <sz val="9"/>
        <color rgb="FF6C7072"/>
        <rFont val="游ゴシック体"/>
        <family val="2"/>
      </rPr>
      <t xml:space="preserve">連携など、このサービスでどのように収益を上げる計画か。
【目的】収益化の方法は、決済機能の実装だけでなく、ユーザー導線や</t>
    </r>
    <r>
      <rPr>
        <sz val="9"/>
        <color rgb="FF6C7072"/>
        <rFont val="Noto Sans JP"/>
        <family val="0"/>
        <charset val="1"/>
      </rPr>
      <t xml:space="preserve">UI</t>
    </r>
    <r>
      <rPr>
        <sz val="9"/>
        <color rgb="FF6C7072"/>
        <rFont val="游ゴシック体"/>
        <family val="2"/>
      </rPr>
      <t xml:space="preserve">設計の根幹に関わるため。</t>
    </r>
  </si>
  <si>
    <r>
      <rPr>
        <sz val="10"/>
        <color rgb="FF090A0A"/>
        <rFont val="Noto Sans JP"/>
        <family val="0"/>
        <charset val="1"/>
      </rPr>
      <t xml:space="preserve">CSV</t>
    </r>
    <r>
      <rPr>
        <sz val="10"/>
        <color rgb="FF090A0A"/>
        <rFont val="游ゴシック体"/>
        <family val="2"/>
      </rPr>
      <t xml:space="preserve">エクスポート機能の有無</t>
    </r>
  </si>
  <si>
    <r>
      <rPr>
        <sz val="9"/>
        <color rgb="FF6C7072"/>
        <rFont val="游ゴシック体"/>
        <family val="2"/>
      </rPr>
      <t xml:space="preserve">【内容】管理画面などから、データを</t>
    </r>
    <r>
      <rPr>
        <sz val="9"/>
        <color rgb="FF6C7072"/>
        <rFont val="Noto Sans JP"/>
        <family val="0"/>
        <charset val="1"/>
      </rPr>
      <t xml:space="preserve">CSV</t>
    </r>
    <r>
      <rPr>
        <sz val="9"/>
        <color rgb="FF6C7072"/>
        <rFont val="游ゴシック体"/>
        <family val="2"/>
      </rPr>
      <t xml:space="preserve">ファイルとしてダウンロードする機能は必要か。
【目的】管理画面の「あるある機能」であり、データ抽出ロジックとファイル生成処理の実装が必要になるため、事前に確認が必要。</t>
    </r>
  </si>
  <si>
    <t xml:space="preserve">データ移行の有無</t>
  </si>
  <si>
    <r>
      <rPr>
        <sz val="9"/>
        <color rgb="FF6C7072"/>
        <rFont val="游ゴシック体"/>
        <family val="2"/>
      </rPr>
      <t xml:space="preserve">【内容】既存システムから新システムへデータ</t>
    </r>
    <r>
      <rPr>
        <sz val="9"/>
        <color rgb="FF6C7072"/>
        <rFont val="Noto Sans JP"/>
        <family val="0"/>
        <charset val="1"/>
      </rPr>
      <t xml:space="preserve">(</t>
    </r>
    <r>
      <rPr>
        <sz val="9"/>
        <color rgb="FF6C7072"/>
        <rFont val="游ゴシック体"/>
        <family val="2"/>
      </rPr>
      <t xml:space="preserve">例：会員情報</t>
    </r>
    <r>
      <rPr>
        <sz val="9"/>
        <color rgb="FF6C7072"/>
        <rFont val="Noto Sans JP"/>
        <family val="0"/>
        <charset val="1"/>
      </rPr>
      <t xml:space="preserve">)</t>
    </r>
    <r>
      <rPr>
        <sz val="9"/>
        <color rgb="FF6C7072"/>
        <rFont val="游ゴシック体"/>
        <family val="2"/>
      </rPr>
      <t xml:space="preserve">を移行する必要があるか。
【目的】データの抽出、変換、投入</t>
    </r>
    <r>
      <rPr>
        <sz val="9"/>
        <color rgb="FF6C7072"/>
        <rFont val="Noto Sans JP"/>
        <family val="0"/>
        <charset val="1"/>
      </rPr>
      <t xml:space="preserve">(ETL)</t>
    </r>
    <r>
      <rPr>
        <sz val="9"/>
        <color rgb="FF6C7072"/>
        <rFont val="游ゴシック体"/>
        <family val="2"/>
      </rPr>
      <t xml:space="preserve">の設計とリハーサルに大きな工数がかかるため。</t>
    </r>
  </si>
  <si>
    <t xml:space="preserve">端末権限の利用</t>
  </si>
  <si>
    <r>
      <rPr>
        <sz val="9"/>
        <color rgb="FF6C7072"/>
        <rFont val="游ゴシック体"/>
        <family val="2"/>
      </rPr>
      <t xml:space="preserve">【内容】位置情報、カメラ、プッシュ通知など、スマートフォンの機能を利用するか。
【目的】各機能の利用許可を求める</t>
    </r>
    <r>
      <rPr>
        <sz val="9"/>
        <color rgb="FF6C7072"/>
        <rFont val="Noto Sans JP"/>
        <family val="0"/>
        <charset val="1"/>
      </rPr>
      <t xml:space="preserve">UI</t>
    </r>
    <r>
      <rPr>
        <sz val="9"/>
        <color rgb="FF6C7072"/>
        <rFont val="游ゴシック体"/>
        <family val="2"/>
      </rPr>
      <t xml:space="preserve">設計と、ユーザーが拒否した場合の代替フローを設計する必要があるため。</t>
    </r>
  </si>
  <si>
    <r>
      <rPr>
        <sz val="10"/>
        <color rgb="FF090A0A"/>
        <rFont val="游ゴシック体"/>
        <family val="2"/>
      </rPr>
      <t xml:space="preserve">利用あり（例</t>
    </r>
    <r>
      <rPr>
        <sz val="10"/>
        <color rgb="FF090A0A"/>
        <rFont val="Noto Sans JP"/>
        <family val="0"/>
        <charset val="1"/>
      </rPr>
      <t xml:space="preserve">: </t>
    </r>
    <r>
      <rPr>
        <sz val="10"/>
        <color rgb="FF090A0A"/>
        <rFont val="游ゴシック体"/>
        <family val="2"/>
      </rPr>
      <t xml:space="preserve">プッシュ通知等を計上）</t>
    </r>
  </si>
  <si>
    <r>
      <rPr>
        <b val="true"/>
        <sz val="10"/>
        <color rgb="FF090A0A"/>
        <rFont val="游ゴシック体"/>
        <family val="2"/>
      </rPr>
      <t xml:space="preserve">スコープ</t>
    </r>
    <r>
      <rPr>
        <b val="true"/>
        <sz val="10"/>
        <color rgb="FF090A0A"/>
        <rFont val="Noto Sans JP"/>
        <family val="0"/>
        <charset val="1"/>
      </rPr>
      <t xml:space="preserve">(</t>
    </r>
    <r>
      <rPr>
        <b val="true"/>
        <sz val="10"/>
        <color rgb="FF090A0A"/>
        <rFont val="游ゴシック体"/>
        <family val="2"/>
      </rPr>
      <t xml:space="preserve">非機能要件</t>
    </r>
    <r>
      <rPr>
        <b val="true"/>
        <sz val="10"/>
        <color rgb="FF090A0A"/>
        <rFont val="Noto Sans JP"/>
        <family val="0"/>
        <charset val="1"/>
      </rPr>
      <t xml:space="preserve">)</t>
    </r>
  </si>
  <si>
    <r>
      <rPr>
        <sz val="10"/>
        <color rgb="FF090A0A"/>
        <rFont val="游ゴシック体"/>
        <family val="2"/>
      </rPr>
      <t xml:space="preserve">対応</t>
    </r>
    <r>
      <rPr>
        <sz val="10"/>
        <color rgb="FF090A0A"/>
        <rFont val="Noto Sans JP"/>
        <family val="0"/>
        <charset val="1"/>
      </rPr>
      <t xml:space="preserve">OS</t>
    </r>
    <r>
      <rPr>
        <sz val="10"/>
        <color rgb="FF090A0A"/>
        <rFont val="游ゴシック体"/>
        <family val="2"/>
      </rPr>
      <t xml:space="preserve">・デバイス</t>
    </r>
  </si>
  <si>
    <r>
      <rPr>
        <sz val="9"/>
        <color rgb="FF6C7072"/>
        <rFont val="游ゴシック体"/>
        <family val="2"/>
      </rPr>
      <t xml:space="preserve">【内容】</t>
    </r>
    <r>
      <rPr>
        <sz val="9"/>
        <color rgb="FF6C7072"/>
        <rFont val="Noto Sans JP"/>
        <family val="0"/>
        <charset val="1"/>
      </rPr>
      <t xml:space="preserve">iOS/Android/PC/</t>
    </r>
    <r>
      <rPr>
        <sz val="9"/>
        <color rgb="FF6C7072"/>
        <rFont val="游ゴシック体"/>
        <family val="2"/>
      </rPr>
      <t xml:space="preserve">タブレットなど、どのデバイスで利用できるようにするか。
【目的】対応デバイスが増えるほど、それぞれの画面サイズに合わせた設計・実装・テスト工数が増加する。</t>
    </r>
  </si>
  <si>
    <r>
      <rPr>
        <sz val="10"/>
        <color rgb="FF090A0A"/>
        <rFont val="游ゴシック体"/>
        <family val="2"/>
      </rPr>
      <t xml:space="preserve">前提条件シート参照（</t>
    </r>
    <r>
      <rPr>
        <sz val="10"/>
        <color rgb="FF090A0A"/>
        <rFont val="Noto Sans JP"/>
        <family val="0"/>
        <charset val="1"/>
      </rPr>
      <t xml:space="preserve">iOS / Android </t>
    </r>
    <r>
      <rPr>
        <sz val="10"/>
        <color rgb="FF090A0A"/>
        <rFont val="游ゴシック体"/>
        <family val="2"/>
      </rPr>
      <t xml:space="preserve">各直近 </t>
    </r>
    <r>
      <rPr>
        <sz val="10"/>
        <color rgb="FF090A0A"/>
        <rFont val="Noto Sans JP"/>
        <family val="0"/>
        <charset val="1"/>
      </rPr>
      <t xml:space="preserve">2 </t>
    </r>
    <r>
      <rPr>
        <sz val="10"/>
        <color rgb="FF090A0A"/>
        <rFont val="游ゴシック体"/>
        <family val="2"/>
      </rPr>
      <t xml:space="preserve">世代・主要端末（</t>
    </r>
    <r>
      <rPr>
        <sz val="10"/>
        <color rgb="FF090A0A"/>
        <rFont val="Noto Sans JP"/>
        <family val="0"/>
        <charset val="1"/>
      </rPr>
      <t xml:space="preserve">Web </t>
    </r>
    <r>
      <rPr>
        <sz val="10"/>
        <color rgb="FF090A0A"/>
        <rFont val="游ゴシック体"/>
        <family val="2"/>
      </rPr>
      <t xml:space="preserve">の場合は…）</t>
    </r>
  </si>
  <si>
    <r>
      <rPr>
        <sz val="10"/>
        <color rgb="FF090A0A"/>
        <rFont val="游ゴシック体"/>
        <family val="2"/>
      </rPr>
      <t xml:space="preserve">サポート範囲</t>
    </r>
    <r>
      <rPr>
        <sz val="10"/>
        <color rgb="FF090A0A"/>
        <rFont val="Noto Sans JP"/>
        <family val="0"/>
        <charset val="1"/>
      </rPr>
      <t xml:space="preserve">(OS/</t>
    </r>
    <r>
      <rPr>
        <sz val="10"/>
        <color rgb="FF090A0A"/>
        <rFont val="游ゴシック体"/>
        <family val="2"/>
      </rPr>
      <t xml:space="preserve">ブラウザ</t>
    </r>
    <r>
      <rPr>
        <sz val="10"/>
        <color rgb="FF090A0A"/>
        <rFont val="Noto Sans JP"/>
        <family val="0"/>
        <charset val="1"/>
      </rPr>
      <t xml:space="preserve">)</t>
    </r>
  </si>
  <si>
    <r>
      <rPr>
        <sz val="9"/>
        <color rgb="FF6C7072"/>
        <rFont val="游ゴシック体"/>
        <family val="2"/>
      </rPr>
      <t xml:space="preserve">【内容】各</t>
    </r>
    <r>
      <rPr>
        <sz val="9"/>
        <color rgb="FF6C7072"/>
        <rFont val="Noto Sans JP"/>
        <family val="0"/>
        <charset val="1"/>
      </rPr>
      <t xml:space="preserve">OS</t>
    </r>
    <r>
      <rPr>
        <sz val="9"/>
        <color rgb="FF6C7072"/>
        <rFont val="游ゴシック体"/>
        <family val="2"/>
      </rPr>
      <t xml:space="preserve">やブラウザのどのバージョンまでサポートするか。
【目的】サポート範囲が広い</t>
    </r>
    <r>
      <rPr>
        <sz val="9"/>
        <color rgb="FF6C7072"/>
        <rFont val="Noto Sans JP"/>
        <family val="0"/>
        <charset val="1"/>
      </rPr>
      <t xml:space="preserve">(</t>
    </r>
    <r>
      <rPr>
        <sz val="9"/>
        <color rgb="FF6C7072"/>
        <rFont val="游ゴシック体"/>
        <family val="2"/>
      </rPr>
      <t xml:space="preserve">古いバージョンを含む</t>
    </r>
    <r>
      <rPr>
        <sz val="9"/>
        <color rgb="FF6C7072"/>
        <rFont val="Noto Sans JP"/>
        <family val="0"/>
        <charset val="1"/>
      </rPr>
      <t xml:space="preserve">)</t>
    </r>
    <r>
      <rPr>
        <sz val="9"/>
        <color rgb="FF6C7072"/>
        <rFont val="游ゴシック体"/>
        <family val="2"/>
      </rPr>
      <t xml:space="preserve">ほど、テスト工数や古い環境への対応コストが増加する。</t>
    </r>
  </si>
  <si>
    <t xml:space="preserve">性能目標</t>
  </si>
  <si>
    <t xml:space="preserve">【内容】「〇〇秒以内に表示」「同時に〇〇人がアクセスしても耐えられる」といった、速度や負荷に関する具体的な目標はあるか。
【目的】高い性能目標を達成するには、それに合わせたインフラ設計やアーキテクチャ選定が必要になり、コストに大きく影響するため。</t>
  </si>
  <si>
    <t xml:space="preserve">オフライン対応の有無</t>
  </si>
  <si>
    <t xml:space="preserve">【内容】電波がない状態でも、一部機能が利用できるようにするか。
【目的】端末内にデータを保存・同期する複雑なロジックが必要になり、工数が大幅に増加するため。</t>
  </si>
  <si>
    <r>
      <rPr>
        <sz val="10"/>
        <color rgb="FF090A0A"/>
        <rFont val="游ゴシック体"/>
        <family val="2"/>
      </rPr>
      <t xml:space="preserve">画面の向き</t>
    </r>
    <r>
      <rPr>
        <sz val="10"/>
        <color rgb="FF090A0A"/>
        <rFont val="Noto Sans JP"/>
        <family val="0"/>
        <charset val="1"/>
      </rPr>
      <t xml:space="preserve">(</t>
    </r>
    <r>
      <rPr>
        <sz val="10"/>
        <color rgb="FF090A0A"/>
        <rFont val="游ゴシック体"/>
        <family val="2"/>
      </rPr>
      <t xml:space="preserve">縦固定</t>
    </r>
    <r>
      <rPr>
        <sz val="10"/>
        <color rgb="FF090A0A"/>
        <rFont val="Noto Sans JP"/>
        <family val="0"/>
        <charset val="1"/>
      </rPr>
      <t xml:space="preserve">/</t>
    </r>
    <r>
      <rPr>
        <sz val="10"/>
        <color rgb="FF090A0A"/>
        <rFont val="游ゴシック体"/>
        <family val="2"/>
      </rPr>
      <t xml:space="preserve">横対応</t>
    </r>
    <r>
      <rPr>
        <sz val="10"/>
        <color rgb="FF090A0A"/>
        <rFont val="Noto Sans JP"/>
        <family val="0"/>
        <charset val="1"/>
      </rPr>
      <t xml:space="preserve">)</t>
    </r>
  </si>
  <si>
    <t xml:space="preserve">【内容】スマートフォンやタブレットを横向きにした際の表示に対応するか。
【目的】横向きは、レイアウトが崩れないように設計・実装する必要があるため、工数に直接影響する。「縦向き固定」と割り切るだけで、工数を削減できる。</t>
  </si>
  <si>
    <t xml:space="preserve">多言語対応の有無</t>
  </si>
  <si>
    <r>
      <rPr>
        <sz val="9"/>
        <color rgb="FF6C7072"/>
        <rFont val="游ゴシック体"/>
        <family val="2"/>
      </rPr>
      <t xml:space="preserve">【内容】日本語以外に対応するか。対応する場合、どの言語か。
【目的】翻訳テキストの管理、言語ごとのレイアウト調整</t>
    </r>
    <r>
      <rPr>
        <sz val="9"/>
        <color rgb="FF6C7072"/>
        <rFont val="Noto Sans JP"/>
        <family val="0"/>
        <charset val="1"/>
      </rPr>
      <t xml:space="preserve">(</t>
    </r>
    <r>
      <rPr>
        <sz val="9"/>
        <color rgb="FF6C7072"/>
        <rFont val="游ゴシック体"/>
        <family val="2"/>
      </rPr>
      <t xml:space="preserve">文字長の変動</t>
    </r>
    <r>
      <rPr>
        <sz val="9"/>
        <color rgb="FF6C7072"/>
        <rFont val="Noto Sans JP"/>
        <family val="0"/>
        <charset val="1"/>
      </rPr>
      <t xml:space="preserve">)</t>
    </r>
    <r>
      <rPr>
        <sz val="9"/>
        <color rgb="FF6C7072"/>
        <rFont val="游ゴシック体"/>
        <family val="2"/>
      </rPr>
      <t xml:space="preserve">など、工数への影響が非常に大きいため。</t>
    </r>
  </si>
  <si>
    <t xml:space="preserve">対象外（別途お見積もり）</t>
  </si>
  <si>
    <t xml:space="preserve">計画停止の有無</t>
  </si>
  <si>
    <r>
      <rPr>
        <sz val="9"/>
        <color rgb="FF6C7072"/>
        <rFont val="游ゴシック体"/>
        <family val="2"/>
      </rPr>
      <t xml:space="preserve">【内容】</t>
    </r>
    <r>
      <rPr>
        <sz val="9"/>
        <color rgb="FF6C7072"/>
        <rFont val="Noto Sans JP"/>
        <family val="0"/>
        <charset val="1"/>
      </rPr>
      <t xml:space="preserve">24</t>
    </r>
    <r>
      <rPr>
        <sz val="9"/>
        <color rgb="FF6C7072"/>
        <rFont val="游ゴシック体"/>
        <family val="2"/>
      </rPr>
      <t xml:space="preserve">時間</t>
    </r>
    <r>
      <rPr>
        <sz val="9"/>
        <color rgb="FF6C7072"/>
        <rFont val="Noto Sans JP"/>
        <family val="0"/>
        <charset val="1"/>
      </rPr>
      <t xml:space="preserve">365</t>
    </r>
    <r>
      <rPr>
        <sz val="9"/>
        <color rgb="FF6C7072"/>
        <rFont val="游ゴシック体"/>
        <family val="2"/>
      </rPr>
      <t xml:space="preserve">日稼働が前提か、深夜帯などに計画的なメンテナンス停止が可能か。
【目的】無停止でのリリース</t>
    </r>
    <r>
      <rPr>
        <sz val="9"/>
        <color rgb="FF6C7072"/>
        <rFont val="Noto Sans JP"/>
        <family val="0"/>
        <charset val="1"/>
      </rPr>
      <t xml:space="preserve">(</t>
    </r>
    <r>
      <rPr>
        <sz val="9"/>
        <color rgb="FF6C7072"/>
        <rFont val="游ゴシック体"/>
        <family val="2"/>
      </rPr>
      <t xml:space="preserve">デプロイ</t>
    </r>
    <r>
      <rPr>
        <sz val="9"/>
        <color rgb="FF6C7072"/>
        <rFont val="Noto Sans JP"/>
        <family val="0"/>
        <charset val="1"/>
      </rPr>
      <t xml:space="preserve">)</t>
    </r>
    <r>
      <rPr>
        <sz val="9"/>
        <color rgb="FF6C7072"/>
        <rFont val="游ゴシック体"/>
        <family val="2"/>
      </rPr>
      <t xml:space="preserve">が求められる場合、サーバー構成やリリース手順が複雑になり、工数が増加するため。</t>
    </r>
  </si>
  <si>
    <t xml:space="preserve">デザイン・体制</t>
  </si>
  <si>
    <t xml:space="preserve">デザイン作成の担当</t>
  </si>
  <si>
    <r>
      <rPr>
        <sz val="9"/>
        <color rgb="FF6C7072"/>
        <rFont val="游ゴシック体"/>
        <family val="2"/>
      </rPr>
      <t xml:space="preserve">【内容】デザイン</t>
    </r>
    <r>
      <rPr>
        <sz val="9"/>
        <color rgb="FF6C7072"/>
        <rFont val="Noto Sans JP"/>
        <family val="0"/>
        <charset val="1"/>
      </rPr>
      <t xml:space="preserve">(UI/UX)</t>
    </r>
    <r>
      <rPr>
        <sz val="9"/>
        <color rgb="FF6C7072"/>
        <rFont val="游ゴシック体"/>
        <family val="2"/>
      </rPr>
      <t xml:space="preserve">はどちらが用意するか</t>
    </r>
    <r>
      <rPr>
        <sz val="9"/>
        <color rgb="FF6C7072"/>
        <rFont val="Noto Sans JP"/>
        <family val="0"/>
        <charset val="1"/>
      </rPr>
      <t xml:space="preserve">(</t>
    </r>
    <r>
      <rPr>
        <sz val="9"/>
        <color rgb="FF6C7072"/>
        <rFont val="游ゴシック体"/>
        <family val="2"/>
      </rPr>
      <t xml:space="preserve">顧客支給 </t>
    </r>
    <r>
      <rPr>
        <sz val="9"/>
        <color rgb="FF6C7072"/>
        <rFont val="Noto Sans JP"/>
        <family val="0"/>
        <charset val="1"/>
      </rPr>
      <t xml:space="preserve">or </t>
    </r>
    <r>
      <rPr>
        <sz val="9"/>
        <color rgb="FF6C7072"/>
        <rFont val="游ゴシック体"/>
        <family val="2"/>
      </rPr>
      <t xml:space="preserve">自社制作</t>
    </r>
    <r>
      <rPr>
        <sz val="9"/>
        <color rgb="FF6C7072"/>
        <rFont val="Noto Sans JP"/>
        <family val="0"/>
        <charset val="1"/>
      </rPr>
      <t xml:space="preserve">)</t>
    </r>
    <r>
      <rPr>
        <sz val="9"/>
        <color rgb="FF6C7072"/>
        <rFont val="游ゴシック体"/>
        <family val="2"/>
      </rPr>
      <t xml:space="preserve">。
【目的】自社で</t>
    </r>
    <r>
      <rPr>
        <sz val="9"/>
        <color rgb="FF6C7072"/>
        <rFont val="Noto Sans JP"/>
        <family val="0"/>
        <charset val="1"/>
      </rPr>
      <t xml:space="preserve">UI</t>
    </r>
    <r>
      <rPr>
        <sz val="9"/>
        <color rgb="FF6C7072"/>
        <rFont val="游ゴシック体"/>
        <family val="2"/>
      </rPr>
      <t xml:space="preserve">デザイン、</t>
    </r>
    <r>
      <rPr>
        <sz val="9"/>
        <color rgb="FF6C7072"/>
        <rFont val="Noto Sans JP"/>
        <family val="0"/>
        <charset val="1"/>
      </rPr>
      <t xml:space="preserve">UX</t>
    </r>
    <r>
      <rPr>
        <sz val="9"/>
        <color rgb="FF6C7072"/>
        <rFont val="游ゴシック体"/>
        <family val="2"/>
      </rPr>
      <t xml:space="preserve">設計から行う場合、工数が大幅に増加する。</t>
    </r>
  </si>
  <si>
    <r>
      <rPr>
        <sz val="10"/>
        <color rgb="FF090A0A"/>
        <rFont val="游ゴシック体"/>
        <family val="2"/>
      </rPr>
      <t xml:space="preserve">自社制作想定（</t>
    </r>
    <r>
      <rPr>
        <sz val="10"/>
        <color rgb="FF090A0A"/>
        <rFont val="Noto Sans JP"/>
        <family val="0"/>
        <charset val="1"/>
      </rPr>
      <t xml:space="preserve">UI/UX</t>
    </r>
    <r>
      <rPr>
        <sz val="10"/>
        <color rgb="FF090A0A"/>
        <rFont val="游ゴシック体"/>
        <family val="2"/>
      </rPr>
      <t xml:space="preserve">デザインを見積に計上）</t>
    </r>
  </si>
  <si>
    <t xml:space="preserve">参考にしているサービス</t>
  </si>
  <si>
    <r>
      <rPr>
        <sz val="9"/>
        <color rgb="FF6C7072"/>
        <rFont val="游ゴシック体"/>
        <family val="2"/>
      </rPr>
      <t xml:space="preserve">【内容】デザインや機能のイメージに近い、参考となるアプリや</t>
    </r>
    <r>
      <rPr>
        <sz val="9"/>
        <color rgb="FF6C7072"/>
        <rFont val="Noto Sans JP"/>
        <family val="0"/>
        <charset val="1"/>
      </rPr>
      <t xml:space="preserve">Web</t>
    </r>
    <r>
      <rPr>
        <sz val="9"/>
        <color rgb="FF6C7072"/>
        <rFont val="游ゴシック体"/>
        <family val="2"/>
      </rPr>
      <t xml:space="preserve">サイト。
【目的】お客様の頭の中にある完成イメージを具体的に共有してもらうことで、デザインの方向性を固め、手戻りを防ぐ。</t>
    </r>
  </si>
  <si>
    <t xml:space="preserve">デザインのテーマカラー</t>
  </si>
  <si>
    <t xml:space="preserve">【内容】ブランドカラーや、希望するメインカラー、アクセントカラー。
【目的】デザインの基調となる色を早期に決定することで、デザイン制作をスムーズに進めるため。</t>
  </si>
  <si>
    <t xml:space="preserve">フォントの指定</t>
  </si>
  <si>
    <r>
      <rPr>
        <sz val="9"/>
        <color rgb="FF6C7072"/>
        <rFont val="游ゴシック体"/>
        <family val="2"/>
      </rPr>
      <t xml:space="preserve">【内容】</t>
    </r>
    <r>
      <rPr>
        <sz val="9"/>
        <color rgb="FF6C7072"/>
        <rFont val="Noto Sans JP"/>
        <family val="0"/>
        <charset val="1"/>
      </rPr>
      <t xml:space="preserve">OS</t>
    </r>
    <r>
      <rPr>
        <sz val="9"/>
        <color rgb="FF6C7072"/>
        <rFont val="游ゴシック体"/>
        <family val="2"/>
      </rPr>
      <t xml:space="preserve">標準のフォント以外に、特定のブランドフォントや有償フォントを使用するか。
【目的】有償フォントを利用する場合、ライセンス費用の確認と、アプリへの組み込み工数が別途発生する。</t>
    </r>
  </si>
  <si>
    <t xml:space="preserve">スプラッシュ画面のアニメーション有無</t>
  </si>
  <si>
    <r>
      <rPr>
        <sz val="9"/>
        <color rgb="FF6C7072"/>
        <rFont val="游ゴシック体"/>
        <family val="2"/>
      </rPr>
      <t xml:space="preserve">【内容】アプリ起動時に表示される画面</t>
    </r>
    <r>
      <rPr>
        <sz val="9"/>
        <color rgb="FF6C7072"/>
        <rFont val="Noto Sans JP"/>
        <family val="0"/>
        <charset val="1"/>
      </rPr>
      <t xml:space="preserve">(</t>
    </r>
    <r>
      <rPr>
        <sz val="9"/>
        <color rgb="FF6C7072"/>
        <rFont val="游ゴシック体"/>
        <family val="2"/>
      </rPr>
      <t xml:space="preserve">スプラッシュ</t>
    </r>
    <r>
      <rPr>
        <sz val="9"/>
        <color rgb="FF6C7072"/>
        <rFont val="Noto Sans JP"/>
        <family val="0"/>
        <charset val="1"/>
      </rPr>
      <t xml:space="preserve">)</t>
    </r>
    <r>
      <rPr>
        <sz val="9"/>
        <color rgb="FF6C7072"/>
        <rFont val="游ゴシック体"/>
        <family val="2"/>
      </rPr>
      <t xml:space="preserve">に、単純なロゴ表示だけでなく、アニメーションを実装するか。
【目的】アニメーションは、デザイン工数と実装工数の両方が追加で発生する。ブランディングに関わる重要な要素だが、コスト要因でもあるため確認が必要。</t>
    </r>
  </si>
  <si>
    <t xml:space="preserve">素材の提供の有無</t>
  </si>
  <si>
    <r>
      <rPr>
        <sz val="9"/>
        <color rgb="FF6C7072"/>
        <rFont val="游ゴシック体"/>
        <family val="2"/>
      </rPr>
      <t xml:space="preserve">【内容】アプリ内で使用する画像、テキスト、動画などの素材は誰が用意するか。
【目的】素材</t>
    </r>
    <r>
      <rPr>
        <sz val="9"/>
        <color rgb="FF6C7072"/>
        <rFont val="Noto Sans JP"/>
        <family val="0"/>
        <charset val="1"/>
      </rPr>
      <t xml:space="preserve">(</t>
    </r>
    <r>
      <rPr>
        <sz val="9"/>
        <color rgb="FF6C7072"/>
        <rFont val="游ゴシック体"/>
        <family val="2"/>
      </rPr>
      <t xml:space="preserve">特に原稿</t>
    </r>
    <r>
      <rPr>
        <sz val="9"/>
        <color rgb="FF6C7072"/>
        <rFont val="Noto Sans JP"/>
        <family val="0"/>
        <charset val="1"/>
      </rPr>
      <t xml:space="preserve">)</t>
    </r>
    <r>
      <rPr>
        <sz val="9"/>
        <color rgb="FF6C7072"/>
        <rFont val="游ゴシック体"/>
        <family val="2"/>
      </rPr>
      <t xml:space="preserve">の提供が遅れると、プロジェクト全体の遅延に直結する。</t>
    </r>
  </si>
  <si>
    <t xml:space="preserve">アクセシビリティ対応</t>
  </si>
  <si>
    <r>
      <rPr>
        <sz val="9"/>
        <color rgb="FF6C7072"/>
        <rFont val="游ゴシック体"/>
        <family val="2"/>
      </rPr>
      <t xml:space="preserve">【内容】公共機関の案件などで、</t>
    </r>
    <r>
      <rPr>
        <sz val="9"/>
        <color rgb="FF6C7072"/>
        <rFont val="Noto Sans JP"/>
        <family val="0"/>
        <charset val="1"/>
      </rPr>
      <t xml:space="preserve">WCAG</t>
    </r>
    <r>
      <rPr>
        <sz val="9"/>
        <color rgb="FF6C7072"/>
        <rFont val="游ゴシック体"/>
        <family val="2"/>
      </rPr>
      <t xml:space="preserve">などのアクセシビリティ基準に準拠する必要があるか。
【目的】音声読み上げ対応や、十分なコントラスト比の確保など、専門的な設計・実装・テストが必要になり、工数が大幅に増加するため。</t>
    </r>
  </si>
  <si>
    <t xml:space="preserve">インフラ・セキュリティ</t>
  </si>
  <si>
    <t xml:space="preserve">個人情報の取り扱いの有無</t>
  </si>
  <si>
    <t xml:space="preserve">【内容】氏名、住所、電話番号、決済情報などを扱うか。
【目的】「有」の場合、セキュリティ要件が格段に上がり、暗号化やアクセス制御など厳重な設計・実装が必要。</t>
  </si>
  <si>
    <t xml:space="preserve">取り扱いあり想定（認証・セキュリティ設計を計上）</t>
  </si>
  <si>
    <t xml:space="preserve">権限管理・認可設計</t>
  </si>
  <si>
    <r>
      <rPr>
        <sz val="9"/>
        <color rgb="FF6C7072"/>
        <rFont val="游ゴシック体"/>
        <family val="2"/>
      </rPr>
      <t xml:space="preserve">【内容】ユーザーの種類</t>
    </r>
    <r>
      <rPr>
        <sz val="9"/>
        <color rgb="FF6C7072"/>
        <rFont val="Noto Sans JP"/>
        <family val="0"/>
        <charset val="1"/>
      </rPr>
      <t xml:space="preserve">(</t>
    </r>
    <r>
      <rPr>
        <sz val="9"/>
        <color rgb="FF6C7072"/>
        <rFont val="游ゴシック体"/>
        <family val="2"/>
      </rPr>
      <t xml:space="preserve">管理者、一般ユーザー等</t>
    </r>
    <r>
      <rPr>
        <sz val="9"/>
        <color rgb="FF6C7072"/>
        <rFont val="Noto Sans JP"/>
        <family val="0"/>
        <charset val="1"/>
      </rPr>
      <t xml:space="preserve">)</t>
    </r>
    <r>
      <rPr>
        <sz val="9"/>
        <color rgb="FF6C7072"/>
        <rFont val="游ゴシック体"/>
        <family val="2"/>
      </rPr>
      <t xml:space="preserve">によって、使える機能や見られるデータを制御する必要があるか。
【目的】権限管理は設計・実装が複雑になりがちで、工数に大きく影響するため。</t>
    </r>
  </si>
  <si>
    <t xml:space="preserve">監査ログ・操作ログの要否</t>
  </si>
  <si>
    <r>
      <rPr>
        <sz val="9"/>
        <color rgb="FF6C7072"/>
        <rFont val="游ゴシック体"/>
        <family val="2"/>
      </rPr>
      <t xml:space="preserve">【内容】「誰が、いつ、何をしたか」といった操作履歴を保存する必要があるか。
【目的】ログの保存要件</t>
    </r>
    <r>
      <rPr>
        <sz val="9"/>
        <color rgb="FF6C7072"/>
        <rFont val="Noto Sans JP"/>
        <family val="0"/>
        <charset val="1"/>
      </rPr>
      <t xml:space="preserve">(</t>
    </r>
    <r>
      <rPr>
        <sz val="9"/>
        <color rgb="FF6C7072"/>
        <rFont val="游ゴシック体"/>
        <family val="2"/>
      </rPr>
      <t xml:space="preserve">何を、どのくらいの期間</t>
    </r>
    <r>
      <rPr>
        <sz val="9"/>
        <color rgb="FF6C7072"/>
        <rFont val="Noto Sans JP"/>
        <family val="0"/>
        <charset val="1"/>
      </rPr>
      <t xml:space="preserve">)</t>
    </r>
    <r>
      <rPr>
        <sz val="9"/>
        <color rgb="FF6C7072"/>
        <rFont val="游ゴシック体"/>
        <family val="2"/>
      </rPr>
      <t xml:space="preserve">は、サーバーのストレージコストや、ログ収集・解析基盤の構築工数に直接影響するため。</t>
    </r>
  </si>
  <si>
    <t xml:space="preserve">脆弱性診断の実施有無</t>
  </si>
  <si>
    <r>
      <rPr>
        <sz val="9"/>
        <color rgb="FF6C7072"/>
        <rFont val="游ゴシック体"/>
        <family val="2"/>
      </rPr>
      <t xml:space="preserve">【内容】第三者機関によるセキュリティの専門的な検査</t>
    </r>
    <r>
      <rPr>
        <sz val="9"/>
        <color rgb="FF6C7072"/>
        <rFont val="Noto Sans JP"/>
        <family val="0"/>
        <charset val="1"/>
      </rPr>
      <t xml:space="preserve">(</t>
    </r>
    <r>
      <rPr>
        <sz val="9"/>
        <color rgb="FF6C7072"/>
        <rFont val="游ゴシック体"/>
        <family val="2"/>
      </rPr>
      <t xml:space="preserve">脆弱性診断</t>
    </r>
    <r>
      <rPr>
        <sz val="9"/>
        <color rgb="FF6C7072"/>
        <rFont val="Noto Sans JP"/>
        <family val="0"/>
        <charset val="1"/>
      </rPr>
      <t xml:space="preserve">)</t>
    </r>
    <r>
      <rPr>
        <sz val="9"/>
        <color rgb="FF6C7072"/>
        <rFont val="游ゴシック体"/>
        <family val="2"/>
      </rPr>
      <t xml:space="preserve">を実施するか。
【目的】診断の実施費用</t>
    </r>
    <r>
      <rPr>
        <sz val="9"/>
        <color rgb="FF6C7072"/>
        <rFont val="Noto Sans JP"/>
        <family val="0"/>
        <charset val="1"/>
      </rPr>
      <t xml:space="preserve">(</t>
    </r>
    <r>
      <rPr>
        <sz val="9"/>
        <color rgb="FF6C7072"/>
        <rFont val="游ゴシック体"/>
        <family val="2"/>
      </rPr>
      <t xml:space="preserve">実費</t>
    </r>
    <r>
      <rPr>
        <sz val="9"/>
        <color rgb="FF6C7072"/>
        <rFont val="Noto Sans JP"/>
        <family val="0"/>
        <charset val="1"/>
      </rPr>
      <t xml:space="preserve">)</t>
    </r>
    <r>
      <rPr>
        <sz val="9"/>
        <color rgb="FF6C7072"/>
        <rFont val="游ゴシック体"/>
        <family val="2"/>
      </rPr>
      <t xml:space="preserve">と、検出された脆弱性の改修対応に大きな工数がかかる可能性があるため。</t>
    </r>
  </si>
  <si>
    <t xml:space="preserve">実施（脆弱性診断を計上）</t>
  </si>
  <si>
    <r>
      <rPr>
        <sz val="10"/>
        <color rgb="FF090A0A"/>
        <rFont val="游ゴシック体"/>
        <family val="2"/>
      </rPr>
      <t xml:space="preserve">バックアップ</t>
    </r>
    <r>
      <rPr>
        <sz val="10"/>
        <color rgb="FF090A0A"/>
        <rFont val="Noto Sans JP"/>
        <family val="0"/>
        <charset val="1"/>
      </rPr>
      <t xml:space="preserve">/DR</t>
    </r>
    <r>
      <rPr>
        <sz val="10"/>
        <color rgb="FF090A0A"/>
        <rFont val="游ゴシック体"/>
        <family val="2"/>
      </rPr>
      <t xml:space="preserve">計画</t>
    </r>
  </si>
  <si>
    <r>
      <rPr>
        <sz val="9"/>
        <color rgb="FF6C7072"/>
        <rFont val="游ゴシック体"/>
        <family val="2"/>
      </rPr>
      <t xml:space="preserve">【内容】災害などでシステムが停止した場合、どのくらいの時間で復旧させる必要があるか。</t>
    </r>
    <r>
      <rPr>
        <sz val="9"/>
        <color rgb="FF6C7072"/>
        <rFont val="Noto Sans JP"/>
        <family val="0"/>
        <charset val="1"/>
      </rPr>
      <t xml:space="preserve">(RTO/RPO)
</t>
    </r>
    <r>
      <rPr>
        <sz val="9"/>
        <color rgb="FF6C7072"/>
        <rFont val="游ゴシック体"/>
        <family val="2"/>
      </rPr>
      <t xml:space="preserve">【目的】高い事業継続性を求める場合、バックアップや</t>
    </r>
    <r>
      <rPr>
        <sz val="9"/>
        <color rgb="FF6C7072"/>
        <rFont val="Noto Sans JP"/>
        <family val="0"/>
        <charset val="1"/>
      </rPr>
      <t xml:space="preserve">DR(</t>
    </r>
    <r>
      <rPr>
        <sz val="9"/>
        <color rgb="FF6C7072"/>
        <rFont val="游ゴシック体"/>
        <family val="2"/>
      </rPr>
      <t xml:space="preserve">災害復旧</t>
    </r>
    <r>
      <rPr>
        <sz val="9"/>
        <color rgb="FF6C7072"/>
        <rFont val="Noto Sans JP"/>
        <family val="0"/>
        <charset val="1"/>
      </rPr>
      <t xml:space="preserve">)</t>
    </r>
    <r>
      <rPr>
        <sz val="9"/>
        <color rgb="FF6C7072"/>
        <rFont val="游ゴシック体"/>
        <family val="2"/>
      </rPr>
      <t xml:space="preserve">サイトの構築・維持に専門的な工数とインフラコストがかかるため。</t>
    </r>
  </si>
  <si>
    <t xml:space="preserve">ドメインの有無</t>
  </si>
  <si>
    <r>
      <rPr>
        <sz val="9"/>
        <color rgb="FF6C7072"/>
        <rFont val="游ゴシック体"/>
        <family val="2"/>
      </rPr>
      <t xml:space="preserve">【内容】</t>
    </r>
    <r>
      <rPr>
        <sz val="9"/>
        <color rgb="FF6C7072"/>
        <rFont val="Noto Sans JP"/>
        <family val="0"/>
        <charset val="1"/>
      </rPr>
      <t xml:space="preserve">API</t>
    </r>
    <r>
      <rPr>
        <sz val="9"/>
        <color rgb="FF6C7072"/>
        <rFont val="游ゴシック体"/>
        <family val="2"/>
      </rPr>
      <t xml:space="preserve">サーバーや</t>
    </r>
    <r>
      <rPr>
        <sz val="9"/>
        <color rgb="FF6C7072"/>
        <rFont val="Noto Sans JP"/>
        <family val="0"/>
        <charset val="1"/>
      </rPr>
      <t xml:space="preserve">Web</t>
    </r>
    <r>
      <rPr>
        <sz val="9"/>
        <color rgb="FF6C7072"/>
        <rFont val="游ゴシック体"/>
        <family val="2"/>
      </rPr>
      <t xml:space="preserve">サイトで利用するドメインは取得済みか。新規取得・設定が必要か。
【目的】ドメインの取得・設定作業の有無を確認するため。ドメインはお客様の資産であり、事前に取得方法や所有者を決めておく必要がある。</t>
    </r>
  </si>
  <si>
    <t xml:space="preserve">リリース・運用</t>
  </si>
  <si>
    <t xml:space="preserve">配布形態</t>
  </si>
  <si>
    <r>
      <rPr>
        <sz val="9"/>
        <color rgb="FF6C7072"/>
        <rFont val="游ゴシック体"/>
        <family val="2"/>
      </rPr>
      <t xml:space="preserve">【内容】ストア公開か、クローズド配布</t>
    </r>
    <r>
      <rPr>
        <sz val="9"/>
        <color rgb="FF6C7072"/>
        <rFont val="Noto Sans JP"/>
        <family val="0"/>
        <charset val="1"/>
      </rPr>
      <t xml:space="preserve">(MDM, In-House)</t>
    </r>
    <r>
      <rPr>
        <sz val="9"/>
        <color rgb="FF6C7072"/>
        <rFont val="游ゴシック体"/>
        <family val="2"/>
      </rPr>
      <t xml:space="preserve">か。
【目的】一般公開</t>
    </r>
    <r>
      <rPr>
        <sz val="9"/>
        <color rgb="FF6C7072"/>
        <rFont val="Noto Sans JP"/>
        <family val="0"/>
        <charset val="1"/>
      </rPr>
      <t xml:space="preserve">(</t>
    </r>
    <r>
      <rPr>
        <sz val="9"/>
        <color rgb="FF6C7072"/>
        <rFont val="游ゴシック体"/>
        <family val="2"/>
      </rPr>
      <t xml:space="preserve">ストア申請</t>
    </r>
    <r>
      <rPr>
        <sz val="9"/>
        <color rgb="FF6C7072"/>
        <rFont val="Noto Sans JP"/>
        <family val="0"/>
        <charset val="1"/>
      </rPr>
      <t xml:space="preserve">)</t>
    </r>
    <r>
      <rPr>
        <sz val="9"/>
        <color rgb="FF6C7072"/>
        <rFont val="游ゴシック体"/>
        <family val="2"/>
      </rPr>
      <t xml:space="preserve">は審査プロセスが必須。クローズド配布は別の仕組み構築が必要。</t>
    </r>
  </si>
  <si>
    <t xml:space="preserve">テストの配信方法</t>
  </si>
  <si>
    <r>
      <rPr>
        <sz val="9"/>
        <color rgb="FF6C7072"/>
        <rFont val="游ゴシック体"/>
        <family val="2"/>
      </rPr>
      <t xml:space="preserve">【内容】開発中のアプリを関係者にどう配布・確認するか</t>
    </r>
    <r>
      <rPr>
        <sz val="9"/>
        <color rgb="FF6C7072"/>
        <rFont val="Noto Sans JP"/>
        <family val="0"/>
        <charset val="1"/>
      </rPr>
      <t xml:space="preserve">(TestFlight, Firebase App Distribution</t>
    </r>
    <r>
      <rPr>
        <sz val="9"/>
        <color rgb="FF6C7072"/>
        <rFont val="游ゴシック体"/>
        <family val="2"/>
      </rPr>
      <t xml:space="preserve">など</t>
    </r>
    <r>
      <rPr>
        <sz val="9"/>
        <color rgb="FF6C7072"/>
        <rFont val="Noto Sans JP"/>
        <family val="0"/>
        <charset val="1"/>
      </rPr>
      <t xml:space="preserve">)</t>
    </r>
    <r>
      <rPr>
        <sz val="9"/>
        <color rgb="FF6C7072"/>
        <rFont val="游ゴシック体"/>
        <family val="2"/>
      </rPr>
      <t xml:space="preserve">。
【目的】配布方法のセットアップや管理に工数がかかる。また、顧客側の確認環境</t>
    </r>
    <r>
      <rPr>
        <sz val="9"/>
        <color rgb="FF6C7072"/>
        <rFont val="Noto Sans JP"/>
        <family val="0"/>
        <charset val="1"/>
      </rPr>
      <t xml:space="preserve">(</t>
    </r>
    <r>
      <rPr>
        <sz val="9"/>
        <color rgb="FF6C7072"/>
        <rFont val="游ゴシック体"/>
        <family val="2"/>
      </rPr>
      <t xml:space="preserve">テスト端末の有無など</t>
    </r>
    <r>
      <rPr>
        <sz val="9"/>
        <color rgb="FF6C7072"/>
        <rFont val="Noto Sans JP"/>
        <family val="0"/>
        <charset val="1"/>
      </rPr>
      <t xml:space="preserve">)</t>
    </r>
    <r>
      <rPr>
        <sz val="9"/>
        <color rgb="FF6C7072"/>
        <rFont val="游ゴシック体"/>
        <family val="2"/>
      </rPr>
      <t xml:space="preserve">を把握するため。</t>
    </r>
  </si>
  <si>
    <t xml:space="preserve">強制アップデートの有無</t>
  </si>
  <si>
    <r>
      <rPr>
        <sz val="9"/>
        <color rgb="FF6C7072"/>
        <rFont val="游ゴシック体"/>
        <family val="2"/>
      </rPr>
      <t xml:space="preserve">【内容】古いバージョンのアプリを強制的に使えなくする仕組みが必要か。
【目的】全ユーザーの利用バージョンを統一するための重要な機能。バージョン管理</t>
    </r>
    <r>
      <rPr>
        <sz val="9"/>
        <color rgb="FF6C7072"/>
        <rFont val="Noto Sans JP"/>
        <family val="0"/>
        <charset val="1"/>
      </rPr>
      <t xml:space="preserve">API</t>
    </r>
    <r>
      <rPr>
        <sz val="9"/>
        <color rgb="FF6C7072"/>
        <rFont val="游ゴシック体"/>
        <family val="2"/>
      </rPr>
      <t xml:space="preserve">や画面の実装が追加で必要になるため。</t>
    </r>
  </si>
  <si>
    <t xml:space="preserve">メンテナンスモードの有無</t>
  </si>
  <si>
    <t xml:space="preserve">【内容】サーバーメンテナンス中などに、アプリ側で「メンテナンス中」と表示する機能は必要か。
【目的】「有」の場合、メンテナンス状態を管理する仕組みや専用画面の実装が必要になるため、追加の工数が発生する。</t>
  </si>
  <si>
    <t xml:space="preserve">ストア掲載画像の作成有無</t>
  </si>
  <si>
    <r>
      <rPr>
        <sz val="9"/>
        <color rgb="FF6C7072"/>
        <rFont val="游ゴシック体"/>
        <family val="2"/>
      </rPr>
      <t xml:space="preserve">【内容】</t>
    </r>
    <r>
      <rPr>
        <sz val="9"/>
        <color rgb="FF6C7072"/>
        <rFont val="Noto Sans JP"/>
        <family val="0"/>
        <charset val="1"/>
      </rPr>
      <t xml:space="preserve">App Store</t>
    </r>
    <r>
      <rPr>
        <sz val="9"/>
        <color rgb="FF6C7072"/>
        <rFont val="游ゴシック体"/>
        <family val="2"/>
      </rPr>
      <t xml:space="preserve">や</t>
    </r>
    <r>
      <rPr>
        <sz val="9"/>
        <color rgb="FF6C7072"/>
        <rFont val="Noto Sans JP"/>
        <family val="0"/>
        <charset val="1"/>
      </rPr>
      <t xml:space="preserve">Google Play</t>
    </r>
    <r>
      <rPr>
        <sz val="9"/>
        <color rgb="FF6C7072"/>
        <rFont val="游ゴシック体"/>
        <family val="2"/>
      </rPr>
      <t xml:space="preserve">に掲載するスクリーンショットや紹介画像をどちらが作成するか。
【目的】アプリのダウンロード率に直結する重要な要素であり、誰が、いつまでに用意するのかを明確にしておかないと、リリース直前に慌てることになる。</t>
    </r>
  </si>
  <si>
    <t xml:space="preserve">保守・運用体制</t>
  </si>
  <si>
    <r>
      <rPr>
        <sz val="9"/>
        <color rgb="FF6C7072"/>
        <rFont val="游ゴシック体"/>
        <family val="2"/>
      </rPr>
      <t xml:space="preserve">【内容】リリース後の不具合対応や、サーバー監視、</t>
    </r>
    <r>
      <rPr>
        <sz val="9"/>
        <color rgb="FF6C7072"/>
        <rFont val="Noto Sans JP"/>
        <family val="0"/>
        <charset val="1"/>
      </rPr>
      <t xml:space="preserve">OS</t>
    </r>
    <r>
      <rPr>
        <sz val="9"/>
        <color rgb="FF6C7072"/>
        <rFont val="游ゴシック体"/>
        <family val="2"/>
      </rPr>
      <t xml:space="preserve">アップデート対応をどうするか。
【目的】リリース後の保守運用契約が別途必要なのか、自社で対応するのかを明確にする。</t>
    </r>
  </si>
  <si>
    <t xml:space="preserve">成果物・制約</t>
  </si>
  <si>
    <r>
      <rPr>
        <sz val="10"/>
        <color rgb="FF090A0A"/>
        <rFont val="游ゴシック体"/>
        <family val="2"/>
      </rPr>
      <t xml:space="preserve">納品物</t>
    </r>
    <r>
      <rPr>
        <sz val="10"/>
        <color rgb="FF090A0A"/>
        <rFont val="Noto Sans JP"/>
        <family val="0"/>
        <charset val="1"/>
      </rPr>
      <t xml:space="preserve">(</t>
    </r>
    <r>
      <rPr>
        <sz val="10"/>
        <color rgb="FF090A0A"/>
        <rFont val="游ゴシック体"/>
        <family val="2"/>
      </rPr>
      <t xml:space="preserve">成果物</t>
    </r>
    <r>
      <rPr>
        <sz val="10"/>
        <color rgb="FF090A0A"/>
        <rFont val="Noto Sans JP"/>
        <family val="0"/>
        <charset val="1"/>
      </rPr>
      <t xml:space="preserve">)</t>
    </r>
    <r>
      <rPr>
        <sz val="10"/>
        <color rgb="FF090A0A"/>
        <rFont val="游ゴシック体"/>
        <family val="2"/>
      </rPr>
      <t xml:space="preserve">の定義</t>
    </r>
  </si>
  <si>
    <t xml:space="preserve">【内容】設計書・仕様書の提出は必要か。どのレベルの詳細さまで必要か。
【目的】ドキュメント作成は工数に直結する。必要なドキュメントの種類と粒度を事前に合意する。</t>
  </si>
  <si>
    <t xml:space="preserve">ソースコード引渡義務の有無</t>
  </si>
  <si>
    <r>
      <rPr>
        <sz val="9"/>
        <color rgb="FF6C7072"/>
        <rFont val="游ゴシック体"/>
        <family val="2"/>
      </rPr>
      <t xml:space="preserve">【内容】開発したソースコード全ての引き渡しが必要か。
【目的】著作権やライセンスの取り決め、コードの清書</t>
    </r>
    <r>
      <rPr>
        <sz val="9"/>
        <color rgb="FF6C7072"/>
        <rFont val="Noto Sans JP"/>
        <family val="0"/>
        <charset val="1"/>
      </rPr>
      <t xml:space="preserve">(</t>
    </r>
    <r>
      <rPr>
        <sz val="9"/>
        <color rgb="FF6C7072"/>
        <rFont val="游ゴシック体"/>
        <family val="2"/>
      </rPr>
      <t xml:space="preserve">可読性担保</t>
    </r>
    <r>
      <rPr>
        <sz val="9"/>
        <color rgb="FF6C7072"/>
        <rFont val="Noto Sans JP"/>
        <family val="0"/>
        <charset val="1"/>
      </rPr>
      <t xml:space="preserve">)</t>
    </r>
    <r>
      <rPr>
        <sz val="9"/>
        <color rgb="FF6C7072"/>
        <rFont val="游ゴシック体"/>
        <family val="2"/>
      </rPr>
      <t xml:space="preserve">など、契約と工数に影響する。</t>
    </r>
  </si>
  <si>
    <t xml:space="preserve">契約上の特記事項</t>
  </si>
  <si>
    <t xml:space="preserve">【内容】ソースコードの知的財産権の扱いや、再委託の可否など、契約面で特別な条件はあるか。
【目的】知財の完全譲渡や再委託の禁止などは、開発体制や利用技術の選定に制約を与え、見積もりに影響するため。</t>
  </si>
  <si>
    <r>
      <rPr>
        <sz val="10"/>
        <color rgb="FF090A0A"/>
        <rFont val="游ゴシック体"/>
        <family val="2"/>
      </rPr>
      <t xml:space="preserve">法務</t>
    </r>
    <r>
      <rPr>
        <sz val="10"/>
        <color rgb="FF090A0A"/>
        <rFont val="Noto Sans JP"/>
        <family val="0"/>
        <charset val="1"/>
      </rPr>
      <t xml:space="preserve">/</t>
    </r>
    <r>
      <rPr>
        <sz val="10"/>
        <color rgb="FF090A0A"/>
        <rFont val="游ゴシック体"/>
        <family val="2"/>
      </rPr>
      <t xml:space="preserve">規制の確認</t>
    </r>
  </si>
  <si>
    <t xml:space="preserve">【内容】資金決済法、薬機法、景表法など、事業分野に特有の法律やガイドラインはあるか。
【目的】特定の業法に対応する場合、専門的な知識が必要となり、審査や表示ルールの対応で工数が増加するため。</t>
  </si>
  <si>
    <t xml:space="preserve">利用規約・プライバシーポリシーの作成</t>
  </si>
  <si>
    <t xml:space="preserve">【内容】アプリ内で表示・同意取得が必要な利用規約やプライバシーポリシーはどちらが用意するか。
【目的】ストア申請や個人情報取り扱いに必須のドキュメント。作成には法務確認が必要な場合が多く、責任の所在を明確にする必要がある。</t>
  </si>
  <si>
    <r>
      <rPr>
        <sz val="10"/>
        <color rgb="FF090A0A"/>
        <rFont val="游ゴシック体"/>
        <family val="2"/>
      </rPr>
      <t xml:space="preserve">完成後の拡張</t>
    </r>
    <r>
      <rPr>
        <sz val="10"/>
        <color rgb="FF090A0A"/>
        <rFont val="Noto Sans JP"/>
        <family val="0"/>
        <charset val="1"/>
      </rPr>
      <t xml:space="preserve">(</t>
    </r>
    <r>
      <rPr>
        <sz val="10"/>
        <color rgb="FF090A0A"/>
        <rFont val="游ゴシック体"/>
        <family val="2"/>
      </rPr>
      <t xml:space="preserve">将来的な展望</t>
    </r>
    <r>
      <rPr>
        <sz val="10"/>
        <color rgb="FF090A0A"/>
        <rFont val="Noto Sans JP"/>
        <family val="0"/>
        <charset val="1"/>
      </rPr>
      <t xml:space="preserve">)</t>
    </r>
  </si>
  <si>
    <r>
      <rPr>
        <sz val="9"/>
        <color rgb="FF6C7072"/>
        <rFont val="游ゴシック体"/>
        <family val="2"/>
      </rPr>
      <t xml:space="preserve">【内容】今回のリリース後、</t>
    </r>
    <r>
      <rPr>
        <sz val="9"/>
        <color rgb="FF6C7072"/>
        <rFont val="Noto Sans JP"/>
        <family val="0"/>
        <charset val="1"/>
      </rPr>
      <t xml:space="preserve">1</t>
    </r>
    <r>
      <rPr>
        <sz val="9"/>
        <color rgb="FF6C7072"/>
        <rFont val="游ゴシック体"/>
        <family val="2"/>
      </rPr>
      <t xml:space="preserve">年後、</t>
    </r>
    <r>
      <rPr>
        <sz val="9"/>
        <color rgb="FF6C7072"/>
        <rFont val="Noto Sans JP"/>
        <family val="0"/>
        <charset val="1"/>
      </rPr>
      <t xml:space="preserve">3</t>
    </r>
    <r>
      <rPr>
        <sz val="9"/>
        <color rgb="FF6C7072"/>
        <rFont val="游ゴシック体"/>
        <family val="2"/>
      </rPr>
      <t xml:space="preserve">年後にどのような機能追加や事業展開を考えているか。
【目的】将来的な拡張性</t>
    </r>
    <r>
      <rPr>
        <sz val="9"/>
        <color rgb="FF6C7072"/>
        <rFont val="Noto Sans JP"/>
        <family val="0"/>
        <charset val="1"/>
      </rPr>
      <t xml:space="preserve">(</t>
    </r>
    <r>
      <rPr>
        <sz val="9"/>
        <color rgb="FF6C7072"/>
        <rFont val="游ゴシック体"/>
        <family val="2"/>
      </rPr>
      <t xml:space="preserve">スケーラビリティ</t>
    </r>
    <r>
      <rPr>
        <sz val="9"/>
        <color rgb="FF6C7072"/>
        <rFont val="Noto Sans JP"/>
        <family val="0"/>
        <charset val="1"/>
      </rPr>
      <t xml:space="preserve">)</t>
    </r>
    <r>
      <rPr>
        <sz val="9"/>
        <color rgb="FF6C7072"/>
        <rFont val="游ゴシック体"/>
        <family val="2"/>
      </rPr>
      <t xml:space="preserve">を考慮してシステムを設計するかどうかで、初期のアーキテクチャ選定や工数が変わるため。</t>
    </r>
  </si>
  <si>
    <t xml:space="preserve">スケジュールの緊急性</t>
  </si>
  <si>
    <r>
      <rPr>
        <sz val="9"/>
        <color rgb="FF6C7072"/>
        <rFont val="游ゴシック体"/>
        <family val="2"/>
      </rPr>
      <t xml:space="preserve">【内容】「いつまでに」という絶対的な期限</t>
    </r>
    <r>
      <rPr>
        <sz val="9"/>
        <color rgb="FF6C7072"/>
        <rFont val="Noto Sans JP"/>
        <family val="0"/>
        <charset val="1"/>
      </rPr>
      <t xml:space="preserve">(</t>
    </r>
    <r>
      <rPr>
        <sz val="9"/>
        <color rgb="FF6C7072"/>
        <rFont val="游ゴシック体"/>
        <family val="2"/>
      </rPr>
      <t xml:space="preserve">例：イベント開催日</t>
    </r>
    <r>
      <rPr>
        <sz val="9"/>
        <color rgb="FF6C7072"/>
        <rFont val="Noto Sans JP"/>
        <family val="0"/>
        <charset val="1"/>
      </rPr>
      <t xml:space="preserve">)</t>
    </r>
    <r>
      <rPr>
        <sz val="9"/>
        <color rgb="FF6C7072"/>
        <rFont val="游ゴシック体"/>
        <family val="2"/>
      </rPr>
      <t xml:space="preserve">があるか。
【目的】期限が厳しい場合は、投入リソースを増やしたり、スコープを削るなどの調整が必要になる。</t>
    </r>
  </si>
  <si>
    <t xml:space="preserve">予算規模</t>
  </si>
  <si>
    <t xml:space="preserve">【内容】大まかな予算感はどれくらいか。
【目的】予算に応じて、実現可能な機能範囲や技術選定、体制を逆算して提案する必要がある。</t>
  </si>
  <si>
    <t xml:space="preserve">体制・外部連携（追加確認）</t>
  </si>
  <si>
    <r>
      <rPr>
        <sz val="9"/>
        <color rgb="FF6C7072"/>
        <rFont val="游ゴシック体"/>
        <family val="2"/>
      </rPr>
      <t xml:space="preserve">【内容】オフショア開発（ベトナム</t>
    </r>
    <r>
      <rPr>
        <sz val="9"/>
        <color rgb="FF6C7072"/>
        <rFont val="Noto Sans JP"/>
        <family val="0"/>
        <charset val="1"/>
      </rPr>
      <t xml:space="preserve">/</t>
    </r>
    <r>
      <rPr>
        <sz val="9"/>
        <color rgb="FF6C7072"/>
        <rFont val="游ゴシック体"/>
        <family val="2"/>
      </rPr>
      <t xml:space="preserve">北京 等）を利用するか。
【目的】単価・コミュニケーション体制・品質管理・ブリッジ</t>
    </r>
    <r>
      <rPr>
        <sz val="9"/>
        <color rgb="FF6C7072"/>
        <rFont val="Noto Sans JP"/>
        <family val="0"/>
        <charset val="1"/>
      </rPr>
      <t xml:space="preserve">SE </t>
    </r>
    <r>
      <rPr>
        <sz val="9"/>
        <color rgb="FF6C7072"/>
        <rFont val="游ゴシック体"/>
        <family val="2"/>
      </rPr>
      <t xml:space="preserve">の要否に影響。見積もりの単価前提そのものに関わる。</t>
    </r>
  </si>
  <si>
    <t xml:space="preserve">利用する（オフショア単価を見積に計上済み）</t>
  </si>
  <si>
    <t xml:space="preserve">外部開発者との協業</t>
  </si>
  <si>
    <t xml:space="preserve">【内容】外部パートナー・フリーランス・他社と協業して開発するか。
【目的】体制・契約（再委託）・情報共有・レビュー体制の設計に影響。</t>
  </si>
  <si>
    <r>
      <rPr>
        <sz val="10"/>
        <color rgb="FF090A0A"/>
        <rFont val="Noto Sans JP"/>
        <family val="0"/>
        <charset val="1"/>
      </rPr>
      <t xml:space="preserve">SDK</t>
    </r>
    <r>
      <rPr>
        <sz val="10"/>
        <color rgb="FF090A0A"/>
        <rFont val="游ゴシック体"/>
        <family val="2"/>
      </rPr>
      <t xml:space="preserve">等の提供・利用</t>
    </r>
  </si>
  <si>
    <r>
      <rPr>
        <sz val="9"/>
        <color rgb="FF6C7072"/>
        <rFont val="游ゴシック体"/>
        <family val="2"/>
      </rPr>
      <t xml:space="preserve">【内容】お客様や第三者から提供される </t>
    </r>
    <r>
      <rPr>
        <sz val="9"/>
        <color rgb="FF6C7072"/>
        <rFont val="Noto Sans JP"/>
        <family val="0"/>
        <charset val="1"/>
      </rPr>
      <t xml:space="preserve">SDK</t>
    </r>
    <r>
      <rPr>
        <sz val="9"/>
        <color rgb="FF6C7072"/>
        <rFont val="游ゴシック体"/>
        <family val="2"/>
      </rPr>
      <t xml:space="preserve">・ライブラリ・</t>
    </r>
    <r>
      <rPr>
        <sz val="9"/>
        <color rgb="FF6C7072"/>
        <rFont val="Noto Sans JP"/>
        <family val="0"/>
        <charset val="1"/>
      </rPr>
      <t xml:space="preserve">API </t>
    </r>
    <r>
      <rPr>
        <sz val="9"/>
        <color rgb="FF6C7072"/>
        <rFont val="游ゴシック体"/>
        <family val="2"/>
      </rPr>
      <t xml:space="preserve">を組み込むか（または当方が提供するか）。
【目的】ライセンス確認・組み込み工数・依存</t>
    </r>
    <r>
      <rPr>
        <sz val="9"/>
        <color rgb="FF6C7072"/>
        <rFont val="Noto Sans JP"/>
        <family val="0"/>
        <charset val="1"/>
      </rPr>
      <t xml:space="preserve">/</t>
    </r>
    <r>
      <rPr>
        <sz val="9"/>
        <color rgb="FF6C7072"/>
        <rFont val="游ゴシック体"/>
        <family val="2"/>
      </rPr>
      <t xml:space="preserve">バージョン管理・サポート範囲に影響。</t>
    </r>
  </si>
  <si>
    <r>
      <rPr>
        <b val="true"/>
        <sz val="10"/>
        <color rgb="FF0066FF"/>
        <rFont val="游ゴシック体"/>
        <family val="2"/>
      </rPr>
      <t xml:space="preserve">⏭ 次にやること</t>
    </r>
    <r>
      <rPr>
        <b val="true"/>
        <sz val="10"/>
        <color rgb="FF0066FF"/>
        <rFont val="Noto Sans JP"/>
        <family val="0"/>
        <charset val="1"/>
      </rPr>
      <t xml:space="preserve">: ① </t>
    </r>
    <r>
      <rPr>
        <b val="true"/>
        <sz val="10"/>
        <color rgb="FF0066FF"/>
        <rFont val="游ゴシック体"/>
        <family val="2"/>
      </rPr>
      <t xml:space="preserve">上から観点を確認し『確認』に ✓（未確認の観点をゼロに）→ ② 追加で分かった条件は回答欄・前提条件シート・見積書に反映 → ③ 未確定は </t>
    </r>
    <r>
      <rPr>
        <b val="true"/>
        <sz val="10"/>
        <color rgb="FF0066FF"/>
        <rFont val="Noto Sans JP"/>
        <family val="0"/>
        <charset val="1"/>
      </rPr>
      <t xml:space="preserve">Rule 8 </t>
    </r>
    <r>
      <rPr>
        <b val="true"/>
        <sz val="10"/>
        <color rgb="FF0066FF"/>
        <rFont val="游ゴシック体"/>
        <family val="2"/>
      </rPr>
      <t xml:space="preserve">で </t>
    </r>
    <r>
      <rPr>
        <b val="true"/>
        <sz val="10"/>
        <color rgb="FF0066FF"/>
        <rFont val="Noto Sans JP"/>
        <family val="0"/>
        <charset val="1"/>
      </rPr>
      <t xml:space="preserve">TBD/</t>
    </r>
    <r>
      <rPr>
        <b val="true"/>
        <sz val="10"/>
        <color rgb="FF0066FF"/>
        <rFont val="游ゴシック体"/>
        <family val="2"/>
      </rPr>
      <t xml:space="preserve">別途明記</t>
    </r>
  </si>
  <si>
    <r>
      <rPr>
        <b val="true"/>
        <sz val="14"/>
        <color rgb="FF090A0A"/>
        <rFont val="游ゴシック体"/>
        <family val="2"/>
      </rPr>
      <t xml:space="preserve">🛡 非機能要件チェック（</t>
    </r>
    <r>
      <rPr>
        <b val="true"/>
        <sz val="14"/>
        <color rgb="FF090A0A"/>
        <rFont val="Noto Sans JP"/>
        <family val="0"/>
        <charset val="1"/>
      </rPr>
      <t xml:space="preserve">Rule 2: </t>
    </r>
    <r>
      <rPr>
        <b val="true"/>
        <sz val="14"/>
        <color rgb="FF090A0A"/>
        <rFont val="游ゴシック体"/>
        <family val="2"/>
      </rPr>
      <t xml:space="preserve">機能だけ数えて非機能を抜かさない）</t>
    </r>
  </si>
  <si>
    <t xml:space="preserve">チェック観点</t>
  </si>
  <si>
    <t xml:space="preserve">対象分野</t>
  </si>
  <si>
    <t xml:space="preserve">判定</t>
  </si>
  <si>
    <t xml:space="preserve">見積明細への反映（項目名）</t>
  </si>
  <si>
    <t xml:space="preserve">メモ（目標値・理由）</t>
  </si>
  <si>
    <t xml:space="preserve">A1</t>
  </si>
  <si>
    <r>
      <rPr>
        <sz val="9"/>
        <color rgb="FF6C7072"/>
        <rFont val="Noto Sans JP"/>
        <family val="0"/>
        <charset val="1"/>
      </rPr>
      <t xml:space="preserve">A. </t>
    </r>
    <r>
      <rPr>
        <sz val="9"/>
        <color rgb="FF6C7072"/>
        <rFont val="游ゴシック体"/>
        <family val="2"/>
      </rPr>
      <t xml:space="preserve">性能・効率性</t>
    </r>
  </si>
  <si>
    <r>
      <rPr>
        <sz val="10"/>
        <color rgb="FF090A0A"/>
        <rFont val="游ゴシック体"/>
        <family val="2"/>
      </rPr>
      <t xml:space="preserve">画面表示・</t>
    </r>
    <r>
      <rPr>
        <sz val="10"/>
        <color rgb="FF090A0A"/>
        <rFont val="Noto Sans JP"/>
        <family val="0"/>
        <charset val="1"/>
      </rPr>
      <t xml:space="preserve">API </t>
    </r>
    <r>
      <rPr>
        <sz val="10"/>
        <color rgb="FF090A0A"/>
        <rFont val="游ゴシック体"/>
        <family val="2"/>
      </rPr>
      <t xml:space="preserve">レスポンス目標（例</t>
    </r>
    <r>
      <rPr>
        <sz val="10"/>
        <color rgb="FF090A0A"/>
        <rFont val="Noto Sans JP"/>
        <family val="0"/>
        <charset val="1"/>
      </rPr>
      <t xml:space="preserve">: </t>
    </r>
    <r>
      <rPr>
        <sz val="10"/>
        <color rgb="FF090A0A"/>
        <rFont val="游ゴシック体"/>
        <family val="2"/>
      </rPr>
      <t xml:space="preserve">主要画面 </t>
    </r>
    <r>
      <rPr>
        <sz val="10"/>
        <color rgb="FF090A0A"/>
        <rFont val="Noto Sans JP"/>
        <family val="0"/>
        <charset val="1"/>
      </rPr>
      <t xml:space="preserve">2 </t>
    </r>
    <r>
      <rPr>
        <sz val="10"/>
        <color rgb="FF090A0A"/>
        <rFont val="游ゴシック体"/>
        <family val="2"/>
      </rPr>
      <t xml:space="preserve">秒以内）</t>
    </r>
  </si>
  <si>
    <t xml:space="preserve">A2</t>
  </si>
  <si>
    <t xml:space="preserve">同時接続・ピーク負荷（想定ユーザー数・イベント時の集中）</t>
  </si>
  <si>
    <t xml:space="preserve">サーバ・インフラ</t>
  </si>
  <si>
    <t xml:space="preserve">A3</t>
  </si>
  <si>
    <r>
      <rPr>
        <sz val="10"/>
        <color rgb="FF090A0A"/>
        <rFont val="游ゴシック体"/>
        <family val="2"/>
      </rPr>
      <t xml:space="preserve">データ量・件数の上限（一覧の件数・画像</t>
    </r>
    <r>
      <rPr>
        <sz val="10"/>
        <color rgb="FF090A0A"/>
        <rFont val="Noto Sans JP"/>
        <family val="0"/>
        <charset val="1"/>
      </rPr>
      <t xml:space="preserve">/</t>
    </r>
    <r>
      <rPr>
        <sz val="10"/>
        <color rgb="FF090A0A"/>
        <rFont val="游ゴシック体"/>
        <family val="2"/>
      </rPr>
      <t xml:space="preserve">動画サイズ）</t>
    </r>
  </si>
  <si>
    <t xml:space="preserve">A4</t>
  </si>
  <si>
    <t xml:space="preserve">負荷テスト・チューニングの要否</t>
  </si>
  <si>
    <t xml:space="preserve">B1</t>
  </si>
  <si>
    <r>
      <rPr>
        <sz val="9"/>
        <color rgb="FF6C7072"/>
        <rFont val="Noto Sans JP"/>
        <family val="0"/>
        <charset val="1"/>
      </rPr>
      <t xml:space="preserve">B. </t>
    </r>
    <r>
      <rPr>
        <sz val="9"/>
        <color rgb="FF6C7072"/>
        <rFont val="游ゴシック体"/>
        <family val="2"/>
      </rPr>
      <t xml:space="preserve">可用性・信頼性</t>
    </r>
  </si>
  <si>
    <r>
      <rPr>
        <sz val="10"/>
        <color rgb="FF090A0A"/>
        <rFont val="游ゴシック体"/>
        <family val="2"/>
      </rPr>
      <t xml:space="preserve">稼働率（</t>
    </r>
    <r>
      <rPr>
        <sz val="10"/>
        <color rgb="FF090A0A"/>
        <rFont val="Noto Sans JP"/>
        <family val="0"/>
        <charset val="1"/>
      </rPr>
      <t xml:space="preserve">SLA</t>
    </r>
    <r>
      <rPr>
        <sz val="10"/>
        <color rgb="FF090A0A"/>
        <rFont val="游ゴシック体"/>
        <family val="2"/>
      </rPr>
      <t xml:space="preserve">）・メンテナンス時間</t>
    </r>
  </si>
  <si>
    <t xml:space="preserve">インフラ</t>
  </si>
  <si>
    <t xml:space="preserve">B2</t>
  </si>
  <si>
    <t xml:space="preserve">障害時の復旧（バックアップ・リストア・冗長化）</t>
  </si>
  <si>
    <t xml:space="preserve">B3</t>
  </si>
  <si>
    <r>
      <rPr>
        <sz val="10"/>
        <color rgb="FF090A0A"/>
        <rFont val="游ゴシック体"/>
        <family val="2"/>
      </rPr>
      <t xml:space="preserve">データ整合性（決済・在庫など金銭</t>
    </r>
    <r>
      <rPr>
        <sz val="10"/>
        <color rgb="FF090A0A"/>
        <rFont val="Noto Sans JP"/>
        <family val="0"/>
        <charset val="1"/>
      </rPr>
      <t xml:space="preserve">/</t>
    </r>
    <r>
      <rPr>
        <sz val="10"/>
        <color rgb="FF090A0A"/>
        <rFont val="游ゴシック体"/>
        <family val="2"/>
      </rPr>
      <t xml:space="preserve">重要データ）</t>
    </r>
  </si>
  <si>
    <t xml:space="preserve">C1</t>
  </si>
  <si>
    <r>
      <rPr>
        <sz val="9"/>
        <color rgb="FF6C7072"/>
        <rFont val="Noto Sans JP"/>
        <family val="0"/>
        <charset val="1"/>
      </rPr>
      <t xml:space="preserve">C. </t>
    </r>
    <r>
      <rPr>
        <sz val="9"/>
        <color rgb="FF6C7072"/>
        <rFont val="游ゴシック体"/>
        <family val="2"/>
      </rPr>
      <t xml:space="preserve">セキュリティ</t>
    </r>
  </si>
  <si>
    <r>
      <rPr>
        <sz val="10"/>
        <color rgb="FF090A0A"/>
        <rFont val="游ゴシック体"/>
        <family val="2"/>
      </rPr>
      <t xml:space="preserve">認証・認可（ログイン方式・権限・多要素・</t>
    </r>
    <r>
      <rPr>
        <sz val="10"/>
        <color rgb="FF090A0A"/>
        <rFont val="Noto Sans JP"/>
        <family val="0"/>
        <charset val="1"/>
      </rPr>
      <t xml:space="preserve">SSO</t>
    </r>
    <r>
      <rPr>
        <sz val="10"/>
        <color rgb="FF090A0A"/>
        <rFont val="游ゴシック体"/>
        <family val="2"/>
      </rPr>
      <t xml:space="preserve">）</t>
    </r>
  </si>
  <si>
    <t xml:space="preserve">C2</t>
  </si>
  <si>
    <t xml:space="preserve">個人情報・機微情報の取扱い（暗号化・マスキング）</t>
  </si>
  <si>
    <t xml:space="preserve">C3</t>
  </si>
  <si>
    <r>
      <rPr>
        <sz val="10"/>
        <color rgb="FF090A0A"/>
        <rFont val="游ゴシック体"/>
        <family val="2"/>
      </rPr>
      <t xml:space="preserve">決済・金銭処理のセキュリティ（</t>
    </r>
    <r>
      <rPr>
        <sz val="10"/>
        <color rgb="FF090A0A"/>
        <rFont val="Noto Sans JP"/>
        <family val="0"/>
        <charset val="1"/>
      </rPr>
      <t xml:space="preserve">PCI DSS </t>
    </r>
    <r>
      <rPr>
        <sz val="10"/>
        <color rgb="FF090A0A"/>
        <rFont val="游ゴシック体"/>
        <family val="2"/>
      </rPr>
      <t xml:space="preserve">等）</t>
    </r>
  </si>
  <si>
    <t xml:space="preserve">C4</t>
  </si>
  <si>
    <t xml:space="preserve">脆弱性診断・対応（リリース前診断の要否）</t>
  </si>
  <si>
    <t xml:space="preserve">C5</t>
  </si>
  <si>
    <r>
      <rPr>
        <sz val="10"/>
        <color rgb="FF090A0A"/>
        <rFont val="游ゴシック体"/>
        <family val="2"/>
      </rPr>
      <t xml:space="preserve">通信の暗号化・証明書・</t>
    </r>
    <r>
      <rPr>
        <sz val="10"/>
        <color rgb="FF090A0A"/>
        <rFont val="Noto Sans JP"/>
        <family val="0"/>
        <charset val="1"/>
      </rPr>
      <t xml:space="preserve">WAF</t>
    </r>
  </si>
  <si>
    <t xml:space="preserve">D1</t>
  </si>
  <si>
    <r>
      <rPr>
        <sz val="9"/>
        <color rgb="FF6C7072"/>
        <rFont val="Noto Sans JP"/>
        <family val="0"/>
        <charset val="1"/>
      </rPr>
      <t xml:space="preserve">D. </t>
    </r>
    <r>
      <rPr>
        <sz val="9"/>
        <color rgb="FF6C7072"/>
        <rFont val="游ゴシック体"/>
        <family val="2"/>
      </rPr>
      <t xml:space="preserve">運用・保守性</t>
    </r>
  </si>
  <si>
    <t xml:space="preserve">ログ・監視・アラート（障害検知・通知）</t>
  </si>
  <si>
    <t xml:space="preserve">D2</t>
  </si>
  <si>
    <t xml:space="preserve">運用マニュアル・管理者向け操作手順</t>
  </si>
  <si>
    <t xml:space="preserve">D3</t>
  </si>
  <si>
    <r>
      <rPr>
        <sz val="10"/>
        <color rgb="FF090A0A"/>
        <rFont val="游ゴシック体"/>
        <family val="2"/>
      </rPr>
      <t xml:space="preserve">保守・問い合わせ対応（保証期間・</t>
    </r>
    <r>
      <rPr>
        <sz val="10"/>
        <color rgb="FF090A0A"/>
        <rFont val="Noto Sans JP"/>
        <family val="0"/>
        <charset val="1"/>
      </rPr>
      <t xml:space="preserve">SLA</t>
    </r>
    <r>
      <rPr>
        <sz val="10"/>
        <color rgb="FF090A0A"/>
        <rFont val="游ゴシック体"/>
        <family val="2"/>
      </rPr>
      <t xml:space="preserve">・別契約）</t>
    </r>
  </si>
  <si>
    <t xml:space="preserve">D4</t>
  </si>
  <si>
    <t xml:space="preserve">リリース・デプロイ運用（手順書・ロールバック）</t>
  </si>
  <si>
    <t xml:space="preserve">E1</t>
  </si>
  <si>
    <r>
      <rPr>
        <sz val="9"/>
        <color rgb="FF6C7072"/>
        <rFont val="Noto Sans JP"/>
        <family val="0"/>
        <charset val="1"/>
      </rPr>
      <t xml:space="preserve">E. </t>
    </r>
    <r>
      <rPr>
        <sz val="9"/>
        <color rgb="FF6C7072"/>
        <rFont val="游ゴシック体"/>
        <family val="2"/>
      </rPr>
      <t xml:space="preserve">拡張性・移植性</t>
    </r>
  </si>
  <si>
    <t xml:space="preserve">将来の機能拡張・スケール（マルチテナント等）</t>
  </si>
  <si>
    <t xml:space="preserve">E2</t>
  </si>
  <si>
    <r>
      <rPr>
        <sz val="10"/>
        <color rgb="FF090A0A"/>
        <rFont val="游ゴシック体"/>
        <family val="2"/>
      </rPr>
      <t xml:space="preserve">対応 </t>
    </r>
    <r>
      <rPr>
        <sz val="10"/>
        <color rgb="FF090A0A"/>
        <rFont val="Noto Sans JP"/>
        <family val="0"/>
        <charset val="1"/>
      </rPr>
      <t xml:space="preserve">OS</t>
    </r>
    <r>
      <rPr>
        <sz val="10"/>
        <color rgb="FF090A0A"/>
        <rFont val="游ゴシック体"/>
        <family val="2"/>
      </rPr>
      <t xml:space="preserve">・端末・ブラウザの範囲（世代・機種）</t>
    </r>
  </si>
  <si>
    <r>
      <rPr>
        <sz val="10"/>
        <color rgb="FF090A0A"/>
        <rFont val="游ゴシック体"/>
        <family val="2"/>
      </rPr>
      <t xml:space="preserve">アプリ</t>
    </r>
    <r>
      <rPr>
        <sz val="10"/>
        <color rgb="FF090A0A"/>
        <rFont val="Noto Sans JP"/>
        <family val="0"/>
        <charset val="1"/>
      </rPr>
      <t xml:space="preserve">/Web</t>
    </r>
  </si>
  <si>
    <t xml:space="preserve">E3</t>
  </si>
  <si>
    <t xml:space="preserve">データ移行（既存システムからの移行）</t>
  </si>
  <si>
    <t xml:space="preserve">E4</t>
  </si>
  <si>
    <t xml:space="preserve">多言語・多通貨・地域対応</t>
  </si>
  <si>
    <t xml:space="preserve">F1</t>
  </si>
  <si>
    <r>
      <rPr>
        <sz val="9"/>
        <color rgb="FF6C7072"/>
        <rFont val="Noto Sans JP"/>
        <family val="0"/>
        <charset val="1"/>
      </rPr>
      <t xml:space="preserve">F. </t>
    </r>
    <r>
      <rPr>
        <sz val="9"/>
        <color rgb="FF6C7072"/>
        <rFont val="游ゴシック体"/>
        <family val="2"/>
      </rPr>
      <t xml:space="preserve">互換性・外部連携</t>
    </r>
  </si>
  <si>
    <r>
      <rPr>
        <sz val="10"/>
        <color rgb="FF090A0A"/>
        <rFont val="游ゴシック体"/>
        <family val="2"/>
      </rPr>
      <t xml:space="preserve">外部 </t>
    </r>
    <r>
      <rPr>
        <sz val="10"/>
        <color rgb="FF090A0A"/>
        <rFont val="Noto Sans JP"/>
        <family val="0"/>
        <charset val="1"/>
      </rPr>
      <t xml:space="preserve">API</t>
    </r>
    <r>
      <rPr>
        <sz val="10"/>
        <color rgb="FF090A0A"/>
        <rFont val="游ゴシック体"/>
        <family val="2"/>
      </rPr>
      <t xml:space="preserve">・他社サービス連携（決済・地図・</t>
    </r>
    <r>
      <rPr>
        <sz val="10"/>
        <color rgb="FF090A0A"/>
        <rFont val="Noto Sans JP"/>
        <family val="0"/>
        <charset val="1"/>
      </rPr>
      <t xml:space="preserve">SNS</t>
    </r>
    <r>
      <rPr>
        <sz val="10"/>
        <color rgb="FF090A0A"/>
        <rFont val="游ゴシック体"/>
        <family val="2"/>
      </rPr>
      <t xml:space="preserve">・</t>
    </r>
    <r>
      <rPr>
        <sz val="10"/>
        <color rgb="FF090A0A"/>
        <rFont val="Noto Sans JP"/>
        <family val="0"/>
        <charset val="1"/>
      </rPr>
      <t xml:space="preserve">LINE </t>
    </r>
    <r>
      <rPr>
        <sz val="10"/>
        <color rgb="FF090A0A"/>
        <rFont val="游ゴシック体"/>
        <family val="2"/>
      </rPr>
      <t xml:space="preserve">等）</t>
    </r>
  </si>
  <si>
    <t xml:space="preserve">F2</t>
  </si>
  <si>
    <r>
      <rPr>
        <sz val="10"/>
        <color rgb="FF090A0A"/>
        <rFont val="游ゴシック体"/>
        <family val="2"/>
      </rPr>
      <t xml:space="preserve">既存システム・基盤との連携（</t>
    </r>
    <r>
      <rPr>
        <sz val="10"/>
        <color rgb="FF090A0A"/>
        <rFont val="Noto Sans JP"/>
        <family val="0"/>
        <charset val="1"/>
      </rPr>
      <t xml:space="preserve">ID</t>
    </r>
    <r>
      <rPr>
        <sz val="10"/>
        <color rgb="FF090A0A"/>
        <rFont val="游ゴシック体"/>
        <family val="2"/>
      </rPr>
      <t xml:space="preserve">基盤・</t>
    </r>
    <r>
      <rPr>
        <sz val="10"/>
        <color rgb="FF090A0A"/>
        <rFont val="Noto Sans JP"/>
        <family val="0"/>
        <charset val="1"/>
      </rPr>
      <t xml:space="preserve">CMS</t>
    </r>
    <r>
      <rPr>
        <sz val="10"/>
        <color rgb="FF090A0A"/>
        <rFont val="游ゴシック体"/>
        <family val="2"/>
      </rPr>
      <t xml:space="preserve">・在庫）</t>
    </r>
  </si>
  <si>
    <t xml:space="preserve">F3</t>
  </si>
  <si>
    <r>
      <rPr>
        <sz val="10"/>
        <color rgb="FF090A0A"/>
        <rFont val="游ゴシック体"/>
        <family val="2"/>
      </rPr>
      <t xml:space="preserve">データ入出力（</t>
    </r>
    <r>
      <rPr>
        <sz val="10"/>
        <color rgb="FF090A0A"/>
        <rFont val="Noto Sans JP"/>
        <family val="0"/>
        <charset val="1"/>
      </rPr>
      <t xml:space="preserve">CSV/</t>
    </r>
    <r>
      <rPr>
        <sz val="10"/>
        <color rgb="FF090A0A"/>
        <rFont val="游ゴシック体"/>
        <family val="2"/>
      </rPr>
      <t xml:space="preserve">帳票</t>
    </r>
    <r>
      <rPr>
        <sz val="10"/>
        <color rgb="FF090A0A"/>
        <rFont val="Noto Sans JP"/>
        <family val="0"/>
        <charset val="1"/>
      </rPr>
      <t xml:space="preserve">/</t>
    </r>
    <r>
      <rPr>
        <sz val="10"/>
        <color rgb="FF090A0A"/>
        <rFont val="游ゴシック体"/>
        <family val="2"/>
      </rPr>
      <t xml:space="preserve">分析基盤・</t>
    </r>
    <r>
      <rPr>
        <sz val="10"/>
        <color rgb="FF090A0A"/>
        <rFont val="Noto Sans JP"/>
        <family val="0"/>
        <charset val="1"/>
      </rPr>
      <t xml:space="preserve">BI</t>
    </r>
    <r>
      <rPr>
        <sz val="10"/>
        <color rgb="FF090A0A"/>
        <rFont val="游ゴシック体"/>
        <family val="2"/>
      </rPr>
      <t xml:space="preserve">）</t>
    </r>
  </si>
  <si>
    <t xml:space="preserve">G1</t>
  </si>
  <si>
    <r>
      <rPr>
        <sz val="9"/>
        <color rgb="FF6C7072"/>
        <rFont val="Noto Sans JP"/>
        <family val="0"/>
        <charset val="1"/>
      </rPr>
      <t xml:space="preserve">G. </t>
    </r>
    <r>
      <rPr>
        <sz val="9"/>
        <color rgb="FF6C7072"/>
        <rFont val="游ゴシック体"/>
        <family val="2"/>
      </rPr>
      <t xml:space="preserve">法令・規約・ストア</t>
    </r>
  </si>
  <si>
    <r>
      <rPr>
        <sz val="10"/>
        <color rgb="FF090A0A"/>
        <rFont val="Noto Sans JP"/>
        <family val="0"/>
        <charset val="1"/>
      </rPr>
      <t xml:space="preserve">App Store / Google Play </t>
    </r>
    <r>
      <rPr>
        <sz val="10"/>
        <color rgb="FF090A0A"/>
        <rFont val="游ゴシック体"/>
        <family val="2"/>
      </rPr>
      <t xml:space="preserve">審査要件・掲載素材</t>
    </r>
  </si>
  <si>
    <t xml:space="preserve">G2</t>
  </si>
  <si>
    <t xml:space="preserve">利用規約・プライバシーポリシー・同意取得</t>
  </si>
  <si>
    <t xml:space="preserve">G3</t>
  </si>
  <si>
    <t xml:space="preserve">業界・法令対応（特商法・景表法・資金決済法 等）</t>
  </si>
  <si>
    <t xml:space="preserve">G4</t>
  </si>
  <si>
    <t xml:space="preserve">アクセシビリティ要件</t>
  </si>
  <si>
    <t xml:space="preserve">H1</t>
  </si>
  <si>
    <r>
      <rPr>
        <sz val="9"/>
        <color rgb="FF6C7072"/>
        <rFont val="Noto Sans JP"/>
        <family val="0"/>
        <charset val="1"/>
      </rPr>
      <t xml:space="preserve">H. </t>
    </r>
    <r>
      <rPr>
        <sz val="9"/>
        <color rgb="FF6C7072"/>
        <rFont val="游ゴシック体"/>
        <family val="2"/>
      </rPr>
      <t xml:space="preserve">分析・計測</t>
    </r>
  </si>
  <si>
    <r>
      <rPr>
        <sz val="10"/>
        <color rgb="FF090A0A"/>
        <rFont val="游ゴシック体"/>
        <family val="2"/>
      </rPr>
      <t xml:space="preserve">アクセス解析・行動ログ（</t>
    </r>
    <r>
      <rPr>
        <sz val="10"/>
        <color rgb="FF090A0A"/>
        <rFont val="Noto Sans JP"/>
        <family val="0"/>
        <charset val="1"/>
      </rPr>
      <t xml:space="preserve">GA</t>
    </r>
    <r>
      <rPr>
        <sz val="10"/>
        <color rgb="FF090A0A"/>
        <rFont val="游ゴシック体"/>
        <family val="2"/>
      </rPr>
      <t xml:space="preserve">・独自イベント）</t>
    </r>
  </si>
  <si>
    <t xml:space="preserve">H2</t>
  </si>
  <si>
    <r>
      <rPr>
        <sz val="10"/>
        <color rgb="FF090A0A"/>
        <rFont val="Noto Sans JP"/>
        <family val="0"/>
        <charset val="1"/>
      </rPr>
      <t xml:space="preserve">KPI </t>
    </r>
    <r>
      <rPr>
        <sz val="10"/>
        <color rgb="FF090A0A"/>
        <rFont val="游ゴシック体"/>
        <family val="2"/>
      </rPr>
      <t xml:space="preserve">ダッシュボード・レポート</t>
    </r>
  </si>
  <si>
    <t xml:space="preserve">管理画面</t>
  </si>
  <si>
    <r>
      <rPr>
        <b val="true"/>
        <sz val="10"/>
        <color rgb="FF0066FF"/>
        <rFont val="游ゴシック体"/>
        <family val="2"/>
      </rPr>
      <t xml:space="preserve">⏭ 次にやること</t>
    </r>
    <r>
      <rPr>
        <b val="true"/>
        <sz val="10"/>
        <color rgb="FF0066FF"/>
        <rFont val="Noto Sans JP"/>
        <family val="0"/>
        <charset val="1"/>
      </rPr>
      <t xml:space="preserve">: </t>
    </r>
    <r>
      <rPr>
        <b val="true"/>
        <sz val="10"/>
        <color rgb="FF0066FF"/>
        <rFont val="游ゴシック体"/>
        <family val="2"/>
      </rPr>
      <t xml:space="preserve">「対象」にした観点は見積明細に工数を積んで </t>
    </r>
    <r>
      <rPr>
        <b val="true"/>
        <sz val="10"/>
        <color rgb="FF0066FF"/>
        <rFont val="Noto Sans JP"/>
        <family val="0"/>
        <charset val="1"/>
      </rPr>
      <t xml:space="preserve">F </t>
    </r>
    <r>
      <rPr>
        <b val="true"/>
        <sz val="10"/>
        <color rgb="FF0066FF"/>
        <rFont val="游ゴシック体"/>
        <family val="2"/>
      </rPr>
      <t xml:space="preserve">列に項目名を記入 → 「対象外」は提出物の前提（対象外）に明記 → 「要確認」は </t>
    </r>
    <r>
      <rPr>
        <b val="true"/>
        <sz val="10"/>
        <color rgb="FF0066FF"/>
        <rFont val="Noto Sans JP"/>
        <family val="0"/>
        <charset val="1"/>
      </rPr>
      <t xml:space="preserve">AI </t>
    </r>
    <r>
      <rPr>
        <b val="true"/>
        <sz val="10"/>
        <color rgb="FF0066FF"/>
        <rFont val="游ゴシック体"/>
        <family val="2"/>
      </rPr>
      <t xml:space="preserve">に ❓ で確認を依頼</t>
    </r>
  </si>
</sst>
</file>

<file path=xl/styles.xml><?xml version="1.0" encoding="utf-8"?>
<styleSheet xmlns="http://schemas.openxmlformats.org/spreadsheetml/2006/main">
  <numFmts count="13">
    <numFmt numFmtId="164" formatCode="General"/>
    <numFmt numFmtId="165" formatCode="yyyy/mm/dd"/>
    <numFmt numFmtId="166" formatCode="0.0%"/>
    <numFmt numFmtId="167" formatCode="0.0"/>
    <numFmt numFmtId="168" formatCode="0%"/>
    <numFmt numFmtId="169" formatCode="0"/>
    <numFmt numFmtId="170" formatCode="[$¥-411]#,##0"/>
    <numFmt numFmtId="171" formatCode="0.##"/>
    <numFmt numFmtId="172" formatCode="0.#;;;"/>
    <numFmt numFmtId="173" formatCode="yy/m"/>
    <numFmt numFmtId="174" formatCode="0.#"/>
    <numFmt numFmtId="175" formatCode="m/d"/>
    <numFmt numFmtId="176" formatCode="yyyy/m/d"/>
  </numFmts>
  <fonts count="23">
    <font>
      <sz val="11"/>
      <color theme="1"/>
      <name val="Noto Sans JP"/>
      <family val="2"/>
    </font>
    <font>
      <sz val="10"/>
      <name val="Arial"/>
      <family val="0"/>
    </font>
    <font>
      <sz val="10"/>
      <name val="Arial"/>
      <family val="0"/>
    </font>
    <font>
      <sz val="10"/>
      <name val="Arial"/>
      <family val="0"/>
    </font>
    <font>
      <b val="true"/>
      <sz val="14"/>
      <color rgb="FF090A0A"/>
      <name val="Noto Sans JP"/>
      <family val="2"/>
    </font>
    <font>
      <sz val="9"/>
      <color rgb="FF6C7072"/>
      <name val="Noto Sans JP"/>
      <family val="0"/>
      <charset val="1"/>
    </font>
    <font>
      <sz val="9"/>
      <color rgb="FF6C7072"/>
      <name val="Noto Sans JP"/>
      <family val="2"/>
    </font>
    <font>
      <b val="true"/>
      <sz val="11"/>
      <color rgb="FF0066FF"/>
      <name val="Noto Sans JP"/>
      <family val="0"/>
      <charset val="1"/>
    </font>
    <font>
      <b val="true"/>
      <sz val="11"/>
      <color rgb="FF0066FF"/>
      <name val="Noto Sans JP"/>
      <family val="2"/>
    </font>
    <font>
      <sz val="10"/>
      <color rgb="FF090A0A"/>
      <name val="Noto Sans JP"/>
      <family val="2"/>
    </font>
    <font>
      <sz val="10"/>
      <color rgb="FF090A0A"/>
      <name val="Noto Sans JP"/>
      <family val="0"/>
      <charset val="1"/>
    </font>
    <font>
      <b val="true"/>
      <sz val="10"/>
      <color rgb="FF090A0A"/>
      <name val="Noto Sans JP"/>
      <family val="2"/>
    </font>
    <font>
      <strike val="true"/>
      <sz val="10"/>
      <color rgb="FF9AA0A6"/>
      <name val="Noto Sans JP"/>
      <family val="2"/>
    </font>
    <font>
      <b val="true"/>
      <sz val="10"/>
      <color rgb="FF090A0A"/>
      <name val="Noto Sans JP"/>
      <family val="0"/>
      <charset val="1"/>
    </font>
    <font>
      <b val="true"/>
      <sz val="14"/>
      <color rgb="FF090A0A"/>
      <name val="Noto Sans JP"/>
      <family val="0"/>
      <charset val="1"/>
    </font>
    <font>
      <b val="true"/>
      <sz val="10"/>
      <color rgb="FFFFFFFF"/>
      <name val="Noto Sans JP"/>
      <family val="2"/>
    </font>
    <font>
      <b val="true"/>
      <sz val="10"/>
      <color rgb="FFFFFFFF"/>
      <name val="Noto Sans JP"/>
      <family val="0"/>
      <charset val="1"/>
    </font>
    <font>
      <b val="true"/>
      <sz val="10"/>
      <color rgb="FF0066FF"/>
      <name val="Noto Sans JP"/>
      <family val="2"/>
    </font>
    <font>
      <b val="true"/>
      <sz val="10"/>
      <color rgb="FF0066FF"/>
      <name val="Noto Sans JP"/>
      <family val="0"/>
      <charset val="1"/>
    </font>
    <font>
      <b val="true"/>
      <sz val="10"/>
      <color rgb="FFD63637"/>
      <name val="Noto Sans JP"/>
      <family val="2"/>
    </font>
    <font>
      <b val="true"/>
      <sz val="10"/>
      <color rgb="FFD63637"/>
      <name val="Noto Sans JP"/>
      <family val="0"/>
      <charset val="1"/>
    </font>
    <font>
      <sz val="10"/>
      <name val="Noto Sans JP"/>
      <family val="2"/>
    </font>
    <font>
      <sz val="10"/>
      <name val="Arial"/>
      <family val="2"/>
    </font>
  </fonts>
  <fills count="11">
    <fill>
      <patternFill patternType="none"/>
    </fill>
    <fill>
      <patternFill patternType="gray125"/>
    </fill>
    <fill>
      <patternFill patternType="solid">
        <fgColor rgb="FFE5F0FF"/>
        <bgColor rgb="FFE4F6EC"/>
      </patternFill>
    </fill>
    <fill>
      <patternFill patternType="solid">
        <fgColor rgb="FFF2F4F5"/>
        <bgColor rgb="FFF7F9FA"/>
      </patternFill>
    </fill>
    <fill>
      <patternFill patternType="solid">
        <fgColor rgb="FF253A58"/>
        <bgColor rgb="FF003366"/>
      </patternFill>
    </fill>
    <fill>
      <patternFill patternType="solid">
        <fgColor rgb="FFFBE9E9"/>
        <bgColor rgb="FFF2F4F5"/>
      </patternFill>
    </fill>
    <fill>
      <patternFill patternType="solid">
        <fgColor rgb="FF0066FF"/>
        <bgColor rgb="FF3366FF"/>
      </patternFill>
    </fill>
    <fill>
      <patternFill patternType="solid">
        <fgColor rgb="FFF7F9FA"/>
        <bgColor rgb="FFF2F4F5"/>
      </patternFill>
    </fill>
    <fill>
      <patternFill patternType="solid">
        <fgColor rgb="FF3F9CFF"/>
        <bgColor rgb="FF3366FF"/>
      </patternFill>
    </fill>
    <fill>
      <patternFill patternType="solid">
        <fgColor rgb="FFE3E5E5"/>
        <bgColor rgb="FFE5F0FF"/>
      </patternFill>
    </fill>
    <fill>
      <patternFill patternType="solid">
        <fgColor rgb="FF00A86B"/>
        <bgColor rgb="FF008080"/>
      </patternFill>
    </fill>
  </fills>
  <borders count="2">
    <border diagonalUp="false" diagonalDown="false">
      <left/>
      <right/>
      <top/>
      <bottom/>
      <diagonal/>
    </border>
    <border diagonalUp="false" diagonalDown="false">
      <left style="thin">
        <color rgb="FFE3E5E5"/>
      </left>
      <right style="thin">
        <color rgb="FFE3E5E5"/>
      </right>
      <top style="thin">
        <color rgb="FFE3E5E5"/>
      </top>
      <bottom style="thin">
        <color rgb="FFE3E5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9" fillId="2" borderId="1" xfId="0" applyFont="true" applyBorder="true" applyAlignment="true" applyProtection="true">
      <alignment horizontal="general" vertical="center" textRotation="0" wrapText="false" indent="0" shrinkToFit="false"/>
      <protection locked="false" hidden="false"/>
    </xf>
    <xf numFmtId="165" fontId="10" fillId="2" borderId="1" xfId="0" applyFont="true" applyBorder="true" applyAlignment="true" applyProtection="true">
      <alignment horizontal="general" vertical="center" textRotation="0" wrapText="false" indent="0" shrinkToFit="false"/>
      <protection locked="false" hidden="false"/>
    </xf>
    <xf numFmtId="164" fontId="10" fillId="2" borderId="1" xfId="0" applyFont="true" applyBorder="true" applyAlignment="true" applyProtection="true">
      <alignment horizontal="general" vertical="center" textRotation="0" wrapText="false" indent="0" shrinkToFit="false"/>
      <protection locked="false" hidden="false"/>
    </xf>
    <xf numFmtId="166" fontId="10" fillId="2" borderId="1" xfId="0" applyFont="true" applyBorder="true" applyAlignment="true" applyProtection="true">
      <alignment horizontal="general" vertical="center" textRotation="0" wrapText="false" indent="0" shrinkToFit="false"/>
      <protection locked="fals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7" fontId="10" fillId="2" borderId="1" xfId="0" applyFont="true" applyBorder="true" applyAlignment="true" applyProtection="true">
      <alignment horizontal="general" vertical="center" textRotation="0" wrapText="false" indent="0" shrinkToFit="false"/>
      <protection locked="false" hidden="false"/>
    </xf>
    <xf numFmtId="168" fontId="10" fillId="2" borderId="1" xfId="0" applyFont="true" applyBorder="true" applyAlignment="true" applyProtection="true">
      <alignment horizontal="general" vertical="center" textRotation="0" wrapText="false" indent="0" shrinkToFit="false"/>
      <protection locked="false" hidden="false"/>
    </xf>
    <xf numFmtId="169" fontId="10" fillId="2" borderId="1" xfId="0" applyFont="true" applyBorder="true" applyAlignment="true" applyProtection="true">
      <alignment horizontal="general" vertical="center" textRotation="0" wrapText="false" indent="0" shrinkToFit="false"/>
      <protection locked="false" hidden="false"/>
    </xf>
    <xf numFmtId="170" fontId="10" fillId="2" borderId="1" xfId="0" applyFont="true" applyBorder="true" applyAlignment="true" applyProtection="true">
      <alignment horizontal="general" vertical="center" textRotation="0" wrapText="false" indent="0" shrinkToFit="false"/>
      <protection locked="false" hidden="false"/>
    </xf>
    <xf numFmtId="164" fontId="15" fillId="6"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general" vertical="center" textRotation="0" wrapText="false" indent="0" shrinkToFit="false"/>
      <protection locked="true" hidden="false"/>
    </xf>
    <xf numFmtId="166" fontId="10" fillId="0" borderId="1"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true">
      <alignment horizontal="general" vertical="center" textRotation="0" wrapText="true" indent="0" shrinkToFit="false"/>
      <protection locked="false" hidden="false"/>
    </xf>
    <xf numFmtId="164" fontId="10" fillId="2" borderId="1" xfId="0" applyFont="true" applyBorder="true" applyAlignment="true" applyProtection="true">
      <alignment horizontal="general" vertical="center" textRotation="0" wrapText="true" indent="0" shrinkToFit="false"/>
      <protection locked="false" hidden="false"/>
    </xf>
    <xf numFmtId="164" fontId="11" fillId="7"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general" vertical="center" textRotation="0" wrapText="false" indent="0" shrinkToFit="false"/>
      <protection locked="true" hidden="false"/>
    </xf>
    <xf numFmtId="171" fontId="13" fillId="3" borderId="1" xfId="0" applyFont="true" applyBorder="true" applyAlignment="true" applyProtection="false">
      <alignment horizontal="right" vertical="center" textRotation="0" wrapText="false" indent="0" shrinkToFit="false"/>
      <protection locked="true" hidden="false"/>
    </xf>
    <xf numFmtId="170" fontId="13" fillId="3" borderId="1" xfId="0" applyFont="true" applyBorder="true" applyAlignment="true" applyProtection="false">
      <alignment horizontal="general" vertical="center" textRotation="0" wrapText="false" indent="0" shrinkToFit="false"/>
      <protection locked="true" hidden="false"/>
    </xf>
    <xf numFmtId="166" fontId="13" fillId="3" borderId="1" xfId="0" applyFont="true" applyBorder="true" applyAlignment="true" applyProtection="false">
      <alignment horizontal="general" vertical="center" textRotation="0" wrapText="false" indent="0" shrinkToFit="false"/>
      <protection locked="true" hidden="false"/>
    </xf>
    <xf numFmtId="171" fontId="10" fillId="0" borderId="1" xfId="0" applyFont="true" applyBorder="true" applyAlignment="true" applyProtection="false">
      <alignment horizontal="right" vertical="center" textRotation="0" wrapText="false" indent="0" shrinkToFit="false"/>
      <protection locked="true" hidden="false"/>
    </xf>
    <xf numFmtId="164" fontId="15" fillId="6" borderId="1" xfId="0" applyFont="true" applyBorder="true" applyAlignment="true" applyProtection="false">
      <alignment horizontal="general" vertical="center" textRotation="0" wrapText="false" indent="0" shrinkToFit="false"/>
      <protection locked="true" hidden="false"/>
    </xf>
    <xf numFmtId="170" fontId="16" fillId="6" borderId="1"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true">
      <alignment horizontal="center" vertical="center" textRotation="0" wrapText="false" indent="0" shrinkToFit="false"/>
      <protection locked="false" hidden="false"/>
    </xf>
    <xf numFmtId="164" fontId="9" fillId="7" borderId="1" xfId="0" applyFont="true" applyBorder="true" applyAlignment="true" applyProtection="true">
      <alignment horizontal="general" vertical="center" textRotation="0" wrapText="true" indent="0" shrinkToFit="false"/>
      <protection locked="false" hidden="false"/>
    </xf>
    <xf numFmtId="164" fontId="10" fillId="7" borderId="1" xfId="0" applyFont="true" applyBorder="true" applyAlignment="true" applyProtection="true">
      <alignment horizontal="general" vertical="center" textRotation="0" wrapText="true" indent="0" shrinkToFit="false"/>
      <protection locked="false" hidden="false"/>
    </xf>
    <xf numFmtId="164" fontId="6" fillId="7" borderId="1" xfId="0" applyFont="true" applyBorder="true" applyAlignment="true" applyProtection="true">
      <alignment horizontal="general" vertical="center" textRotation="0" wrapText="true" indent="0" shrinkToFit="false"/>
      <protection locked="false" hidden="false"/>
    </xf>
    <xf numFmtId="168" fontId="10" fillId="2" borderId="1" xfId="0" applyFont="true" applyBorder="true" applyAlignment="true" applyProtection="true">
      <alignment horizontal="right" vertical="center" textRotation="0" wrapText="false" indent="0" shrinkToFit="false"/>
      <protection locked="false" hidden="false"/>
    </xf>
    <xf numFmtId="164" fontId="9" fillId="7" borderId="1" xfId="0" applyFont="true" applyBorder="true" applyAlignment="true" applyProtection="false">
      <alignment horizontal="center" vertical="center" textRotation="0" wrapText="false" indent="0" shrinkToFit="false"/>
      <protection locked="true" hidden="false"/>
    </xf>
    <xf numFmtId="170" fontId="10" fillId="7"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true">
      <alignment horizontal="center" vertical="center" textRotation="0" wrapText="false" indent="0" shrinkToFit="false"/>
      <protection locked="false" hidden="false"/>
    </xf>
    <xf numFmtId="164" fontId="9" fillId="0" borderId="1" xfId="0" applyFont="true" applyBorder="true" applyAlignment="true" applyProtection="true">
      <alignment horizontal="general" vertical="center" textRotation="0" wrapText="true" indent="0" shrinkToFit="false"/>
      <protection locked="false" hidden="false"/>
    </xf>
    <xf numFmtId="164" fontId="6" fillId="0" borderId="1" xfId="0" applyFont="true" applyBorder="true" applyAlignment="true" applyProtection="true">
      <alignment horizontal="general" vertical="center" textRotation="0" wrapText="true" indent="0" shrinkToFit="false"/>
      <protection locked="false" hidden="false"/>
    </xf>
    <xf numFmtId="164" fontId="10" fillId="2" borderId="1" xfId="0" applyFont="true" applyBorder="true" applyAlignment="true" applyProtection="true">
      <alignment horizontal="right" vertical="center" textRotation="0" wrapText="false" indent="0" shrinkToFit="false"/>
      <protection locked="false" hidden="false"/>
    </xf>
    <xf numFmtId="164" fontId="10" fillId="0" borderId="1" xfId="0" applyFont="true" applyBorder="true" applyAlignment="true" applyProtection="true">
      <alignment horizontal="center" vertical="center" textRotation="0" wrapText="false" indent="0" shrinkToFit="false"/>
      <protection locked="fals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70" fontId="13" fillId="0" borderId="1" xfId="0" applyFont="true" applyBorder="true" applyAlignment="true" applyProtection="false">
      <alignment horizontal="general" vertical="center" textRotation="0" wrapText="false" indent="0" shrinkToFit="false"/>
      <protection locked="true" hidden="false"/>
    </xf>
    <xf numFmtId="170" fontId="5" fillId="0" borderId="1" xfId="0" applyFont="true" applyBorder="true" applyAlignment="true" applyProtection="false">
      <alignment horizontal="general" vertical="center" textRotation="0" wrapText="false" indent="0" shrinkToFit="false"/>
      <protection locked="true" hidden="false"/>
    </xf>
    <xf numFmtId="164" fontId="18" fillId="0" borderId="1" xfId="0" applyFont="true" applyBorder="true" applyAlignment="true" applyProtection="false">
      <alignment horizontal="general" vertical="center" textRotation="0" wrapText="false" indent="0" shrinkToFit="false"/>
      <protection locked="true" hidden="false"/>
    </xf>
    <xf numFmtId="170" fontId="18"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false" hidden="false"/>
    </xf>
    <xf numFmtId="164" fontId="10" fillId="0" borderId="1" xfId="0" applyFont="true" applyBorder="true" applyAlignment="true" applyProtection="true">
      <alignment horizontal="general" vertical="center" textRotation="0" wrapText="true" indent="0" shrinkToFit="false"/>
      <protection locked="fals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true">
      <alignment horizontal="general" vertical="center" textRotation="0" wrapText="true" indent="0" shrinkToFit="false"/>
      <protection locked="false" hidden="false"/>
    </xf>
    <xf numFmtId="164" fontId="11" fillId="7" borderId="1" xfId="0" applyFont="true" applyBorder="true" applyAlignment="true" applyProtection="true">
      <alignment horizontal="center" vertical="center" textRotation="0" wrapText="false" indent="0" shrinkToFit="false"/>
      <protection locked="false" hidden="false"/>
    </xf>
    <xf numFmtId="164" fontId="13" fillId="7" borderId="1" xfId="0" applyFont="true" applyBorder="true" applyAlignment="true" applyProtection="false">
      <alignment horizontal="right" vertical="center" textRotation="0" wrapText="false" indent="0" shrinkToFit="false"/>
      <protection locked="true" hidden="false"/>
    </xf>
    <xf numFmtId="170" fontId="13" fillId="7"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9" fontId="10" fillId="0" borderId="1" xfId="0" applyFont="true" applyBorder="true" applyAlignment="true" applyProtection="false">
      <alignment horizontal="general" vertical="center" textRotation="0" wrapText="false" indent="0" shrinkToFit="false"/>
      <protection locked="true" hidden="false"/>
    </xf>
    <xf numFmtId="173" fontId="5" fillId="0"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true">
      <alignment horizontal="center" vertical="center" textRotation="0" wrapText="false" indent="0" shrinkToFit="false"/>
      <protection locked="false" hidden="false"/>
    </xf>
    <xf numFmtId="174" fontId="10" fillId="0" borderId="1" xfId="0" applyFont="true" applyBorder="true" applyAlignment="true" applyProtection="true">
      <alignment horizontal="right" vertical="center" textRotation="0" wrapText="false" indent="0" shrinkToFit="false"/>
      <protection locked="false" hidden="false"/>
    </xf>
    <xf numFmtId="169" fontId="10" fillId="0" borderId="1" xfId="0" applyFont="true" applyBorder="true" applyAlignment="true" applyProtection="false">
      <alignment horizontal="right" vertical="center" textRotation="0" wrapText="false" indent="0" shrinkToFit="false"/>
      <protection locked="true" hidden="false"/>
    </xf>
    <xf numFmtId="169" fontId="10" fillId="2" borderId="1" xfId="0" applyFont="true" applyBorder="true" applyAlignment="true" applyProtection="true">
      <alignment horizontal="right" vertical="center" textRotation="0" wrapText="false" indent="0" shrinkToFit="false"/>
      <protection locked="false" hidden="false"/>
    </xf>
    <xf numFmtId="175"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right" vertical="center" textRotation="0" wrapText="false" indent="0" shrinkToFit="false"/>
      <protection locked="true" hidden="false"/>
    </xf>
    <xf numFmtId="174" fontId="10" fillId="2" borderId="1" xfId="0" applyFont="true" applyBorder="true" applyAlignment="true" applyProtection="true">
      <alignment horizontal="right" vertical="center" textRotation="0" wrapText="false" indent="0" shrinkToFit="false"/>
      <protection locked="fals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76" fontId="13" fillId="0" borderId="1" xfId="0" applyFont="true" applyBorder="tru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right"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false" indent="0" shrinkToFit="false"/>
      <protection locked="false" hidden="false"/>
    </xf>
    <xf numFmtId="164" fontId="6" fillId="2" borderId="1" xfId="0" applyFont="true" applyBorder="true" applyAlignment="true" applyProtection="true">
      <alignment horizontal="general" vertical="center"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ont>
        <name val="Noto Sans JP"/>
        <charset val="1"/>
        <family val="0"/>
        <strike val="1"/>
        <color rgb="FF9AA0A6"/>
        <sz val="10"/>
      </font>
    </dxf>
    <dxf>
      <font>
        <name val="Noto Sans JP"/>
        <charset val="1"/>
        <family val="0"/>
        <b val="1"/>
        <color rgb="FFD63637"/>
        <sz val="10"/>
      </font>
      <fill>
        <patternFill>
          <bgColor rgb="FFFBE9E9"/>
        </patternFill>
      </fill>
    </dxf>
    <dxf>
      <font>
        <name val="Noto Sans JP"/>
        <charset val="1"/>
        <family val="0"/>
        <b val="1"/>
        <color rgb="FF0066FF"/>
        <sz val="10"/>
      </font>
    </dxf>
    <dxf>
      <font>
        <name val="Noto Sans JP"/>
        <charset val="1"/>
        <family val="0"/>
        <color rgb="FF6C7072"/>
        <sz val="10"/>
      </font>
    </dxf>
    <dxf>
      <font>
        <name val="Noto Sans JP"/>
        <charset val="1"/>
        <family val="0"/>
        <b val="1"/>
        <color rgb="FFD63637"/>
        <sz val="10"/>
      </font>
    </dxf>
    <dxf>
      <fill>
        <patternFill>
          <bgColor rgb="FF0066FF"/>
        </patternFill>
      </fill>
    </dxf>
    <dxf>
      <fill>
        <patternFill>
          <bgColor rgb="FF3F9CFF"/>
        </patternFill>
      </fill>
    </dxf>
    <dxf>
      <fill>
        <patternFill>
          <bgColor rgb="FF253A58"/>
        </patternFill>
      </fill>
    </dxf>
    <dxf>
      <fill>
        <patternFill>
          <bgColor rgb="FFE3E5E5"/>
        </patternFill>
      </fill>
    </dxf>
    <dxf>
      <fill>
        <patternFill>
          <bgColor rgb="FF00A86B"/>
        </patternFill>
      </fill>
    </dxf>
    <dxf>
      <fill>
        <patternFill>
          <bgColor rgb="FFE4F6EC"/>
        </patternFill>
      </fill>
    </dxf>
    <dxf>
      <font>
        <name val="Noto Sans JP"/>
        <charset val="1"/>
        <family val="0"/>
        <b val="1"/>
        <color rgb="FF00A86B"/>
        <sz val="12"/>
      </font>
    </dxf>
    <dxf>
      <fill>
        <patternFill>
          <bgColor rgb="FFFBE9E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D63637"/>
      <rgbColor rgb="FFF7F9FA"/>
      <rgbColor rgb="FFE4F6EC"/>
      <rgbColor rgb="FF660066"/>
      <rgbColor rgb="FFFF8080"/>
      <rgbColor rgb="FF0066FF"/>
      <rgbColor rgb="FFE3E5E5"/>
      <rgbColor rgb="FF000080"/>
      <rgbColor rgb="FFFF00FF"/>
      <rgbColor rgb="FFFFFF00"/>
      <rgbColor rgb="FF00FFFF"/>
      <rgbColor rgb="FF800080"/>
      <rgbColor rgb="FF800000"/>
      <rgbColor rgb="FF008080"/>
      <rgbColor rgb="FF0000FF"/>
      <rgbColor rgb="FF00CCFF"/>
      <rgbColor rgb="FFE5F0FF"/>
      <rgbColor rgb="FFF2F4F5"/>
      <rgbColor rgb="FFFBE9E9"/>
      <rgbColor rgb="FF99CCFF"/>
      <rgbColor rgb="FFFF99CC"/>
      <rgbColor rgb="FFCC99FF"/>
      <rgbColor rgb="FFFFCC99"/>
      <rgbColor rgb="FF3366FF"/>
      <rgbColor rgb="FF3F9CFF"/>
      <rgbColor rgb="FF99CC00"/>
      <rgbColor rgb="FFFFCC00"/>
      <rgbColor rgb="FFFF9900"/>
      <rgbColor rgb="FFFF6600"/>
      <rgbColor rgb="FF6C7072"/>
      <rgbColor rgb="FF9AA0A6"/>
      <rgbColor rgb="FF003366"/>
      <rgbColor rgb="FF00A86B"/>
      <rgbColor rgb="FF090A0A"/>
      <rgbColor rgb="FF333300"/>
      <rgbColor rgb="FF993300"/>
      <rgbColor rgb="FF993366"/>
      <rgbColor rgb="FF333399"/>
      <rgbColor rgb="FF253A5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4453125" defaultRowHeight="15" customHeight="false" zeroHeight="false" outlineLevelRow="0" outlineLevelCol="0"/>
  <cols>
    <col collapsed="false" customWidth="true" hidden="false" outlineLevel="0" max="1" min="1" style="0" width="2.64"/>
    <col collapsed="false" customWidth="true" hidden="false" outlineLevel="0" max="2" min="2" style="0" width="22.91"/>
    <col collapsed="false" customWidth="true" hidden="false" outlineLevel="0" max="3" min="3" style="0" width="84.57"/>
  </cols>
  <sheetData>
    <row r="2" customFormat="false" ht="17.35" hidden="false" customHeight="false" outlineLevel="0" collapsed="false">
      <c r="B2" s="1" t="s">
        <v>0</v>
      </c>
    </row>
    <row r="3" customFormat="false" ht="15" hidden="false" customHeight="false" outlineLevel="0" collapsed="false">
      <c r="B3" s="2" t="s">
        <v>1</v>
      </c>
    </row>
    <row r="5" customFormat="false" ht="30" hidden="false" customHeight="true" outlineLevel="0" collapsed="false">
      <c r="B5" s="3" t="s">
        <v>2</v>
      </c>
      <c r="C5" s="4" t="s">
        <v>3</v>
      </c>
    </row>
    <row r="6" customFormat="false" ht="30" hidden="false" customHeight="true" outlineLevel="0" collapsed="false">
      <c r="B6" s="3" t="s">
        <v>4</v>
      </c>
      <c r="C6" s="4" t="s">
        <v>5</v>
      </c>
    </row>
    <row r="7" customFormat="false" ht="30" hidden="false" customHeight="true" outlineLevel="0" collapsed="false">
      <c r="B7" s="3" t="s">
        <v>6</v>
      </c>
      <c r="C7" s="4" t="s">
        <v>7</v>
      </c>
    </row>
    <row r="9" customFormat="false" ht="43.5" hidden="false" customHeight="true" outlineLevel="0" collapsed="false">
      <c r="B9" s="5" t="s">
        <v>8</v>
      </c>
      <c r="C9" s="4" t="s">
        <v>9</v>
      </c>
    </row>
    <row r="10" customFormat="false" ht="30" hidden="false" customHeight="true" outlineLevel="0" collapsed="false">
      <c r="C10" s="6" t="s">
        <v>10</v>
      </c>
    </row>
    <row r="12" customFormat="false" ht="15" hidden="false" customHeight="false" outlineLevel="0" collapsed="false">
      <c r="B12" s="5" t="s">
        <v>11</v>
      </c>
    </row>
    <row r="13" customFormat="false" ht="25.5" hidden="false" customHeight="true" outlineLevel="0" collapsed="false">
      <c r="B13" s="7"/>
      <c r="C13" s="4" t="s">
        <v>12</v>
      </c>
    </row>
    <row r="14" customFormat="false" ht="25.5" hidden="false" customHeight="true" outlineLevel="0" collapsed="false">
      <c r="B14" s="8"/>
      <c r="C14" s="4" t="s">
        <v>13</v>
      </c>
    </row>
    <row r="15" customFormat="false" ht="25.5" hidden="false" customHeight="true" outlineLevel="0" collapsed="false">
      <c r="B15" s="9"/>
      <c r="C15" s="4" t="s">
        <v>14</v>
      </c>
    </row>
    <row r="16" customFormat="false" ht="25.5" hidden="false" customHeight="true" outlineLevel="0" collapsed="false">
      <c r="B16" s="10" t="s">
        <v>15</v>
      </c>
      <c r="C16" s="4" t="s">
        <v>16</v>
      </c>
    </row>
    <row r="17" customFormat="false" ht="25.5" hidden="false" customHeight="true" outlineLevel="0" collapsed="false">
      <c r="B17" s="11"/>
      <c r="C17" s="4" t="s">
        <v>17</v>
      </c>
    </row>
    <row r="18" customFormat="false" ht="25.5" hidden="false" customHeight="true" outlineLevel="0" collapsed="false">
      <c r="B18" s="12"/>
      <c r="C18" s="4" t="s">
        <v>18</v>
      </c>
    </row>
    <row r="20" customFormat="false" ht="45" hidden="false" customHeight="true" outlineLevel="0" collapsed="false">
      <c r="B20" s="13" t="s">
        <v>19</v>
      </c>
      <c r="C20" s="4" t="s">
        <v>20</v>
      </c>
    </row>
    <row r="21" customFormat="false" ht="30" hidden="false" customHeight="true" outlineLevel="0" collapsed="false">
      <c r="B21" s="13" t="s">
        <v>21</v>
      </c>
      <c r="C21" s="4" t="s">
        <v>22</v>
      </c>
    </row>
    <row r="22" customFormat="false" ht="60" hidden="false" customHeight="true" outlineLevel="0" collapsed="false">
      <c r="B22" s="13" t="s">
        <v>23</v>
      </c>
      <c r="C22" s="4" t="s">
        <v>24</v>
      </c>
    </row>
    <row r="23" customFormat="false" ht="30" hidden="false" customHeight="true" outlineLevel="0" collapsed="false">
      <c r="B23" s="13" t="s">
        <v>25</v>
      </c>
      <c r="C23" s="4" t="s">
        <v>26</v>
      </c>
    </row>
    <row r="24" customFormat="false" ht="45" hidden="false" customHeight="true" outlineLevel="0" collapsed="false">
      <c r="B24" s="13" t="s">
        <v>27</v>
      </c>
      <c r="C24" s="4" t="s">
        <v>28</v>
      </c>
    </row>
    <row r="25" customFormat="false" ht="30" hidden="false" customHeight="true" outlineLevel="0" collapsed="false">
      <c r="B25" s="14" t="s">
        <v>29</v>
      </c>
      <c r="C25" s="4" t="s">
        <v>30</v>
      </c>
    </row>
    <row r="26" customFormat="false" ht="75" hidden="false" customHeight="true" outlineLevel="0" collapsed="false">
      <c r="B26" s="13" t="s">
        <v>31</v>
      </c>
      <c r="C26" s="4" t="s">
        <v>32</v>
      </c>
    </row>
    <row r="27" customFormat="false" ht="45" hidden="false" customHeight="true" outlineLevel="0" collapsed="false">
      <c r="B27" s="13" t="s">
        <v>33</v>
      </c>
      <c r="C27" s="4" t="s">
        <v>34</v>
      </c>
    </row>
    <row r="28" customFormat="false" ht="45" hidden="false" customHeight="true" outlineLevel="0" collapsed="false">
      <c r="B28" s="13" t="s">
        <v>35</v>
      </c>
      <c r="C28" s="4" t="s">
        <v>36</v>
      </c>
    </row>
    <row r="29" customFormat="false" ht="45" hidden="false" customHeight="true" outlineLevel="0" collapsed="false">
      <c r="B29" s="13" t="s">
        <v>37</v>
      </c>
      <c r="C29" s="4" t="s">
        <v>38</v>
      </c>
    </row>
    <row r="30" customFormat="false" ht="60" hidden="false" customHeight="true" outlineLevel="0" collapsed="false">
      <c r="B30" s="13" t="s">
        <v>39</v>
      </c>
      <c r="C30" s="4" t="s">
        <v>40</v>
      </c>
    </row>
    <row r="31" customFormat="false" ht="45" hidden="false" customHeight="true" outlineLevel="0" collapsed="false">
      <c r="B31" s="13" t="s">
        <v>41</v>
      </c>
      <c r="C31" s="4" t="s">
        <v>42</v>
      </c>
    </row>
    <row r="32" customFormat="false" ht="45" hidden="false" customHeight="true" outlineLevel="0" collapsed="false">
      <c r="B32" s="13" t="s">
        <v>43</v>
      </c>
      <c r="C32" s="4" t="s">
        <v>44</v>
      </c>
    </row>
    <row r="33" customFormat="false" ht="45" hidden="false" customHeight="true" outlineLevel="0" collapsed="false">
      <c r="B33" s="13" t="s">
        <v>45</v>
      </c>
      <c r="C33" s="4" t="s">
        <v>46</v>
      </c>
    </row>
    <row r="34" customFormat="false" ht="45" hidden="false" customHeight="true" outlineLevel="0" collapsed="false">
      <c r="B34" s="13" t="s">
        <v>47</v>
      </c>
      <c r="C34" s="4" t="s">
        <v>48</v>
      </c>
    </row>
    <row r="35" customFormat="false" ht="30" hidden="false" customHeight="true" outlineLevel="0" collapsed="false">
      <c r="B35" s="13" t="s">
        <v>49</v>
      </c>
      <c r="C35" s="4" t="s">
        <v>50</v>
      </c>
    </row>
    <row r="36" customFormat="false" ht="30" hidden="false" customHeight="true" outlineLevel="0" collapsed="false">
      <c r="B36" s="13" t="s">
        <v>51</v>
      </c>
      <c r="C36"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4453125" defaultRowHeight="15" customHeight="false" zeroHeight="false" outlineLevelRow="0" outlineLevelCol="0"/>
  <cols>
    <col collapsed="false" customWidth="true" hidden="false" outlineLevel="0" max="1" min="1" style="0" width="26.43"/>
    <col collapsed="false" customWidth="true" hidden="false" outlineLevel="0" max="2" min="2" style="0" width="15.86"/>
    <col collapsed="false" customWidth="true" hidden="false" outlineLevel="0" max="5" min="3" style="0" width="12.33"/>
    <col collapsed="false" customWidth="true" hidden="false" outlineLevel="0" max="6" min="6" style="0" width="10.57"/>
    <col collapsed="false" customWidth="true" hidden="false" outlineLevel="0" max="7" min="7" style="0" width="45.81"/>
  </cols>
  <sheetData>
    <row r="1" customFormat="false" ht="17.15" hidden="false" customHeight="false" outlineLevel="0" collapsed="false">
      <c r="A1" s="1" t="s">
        <v>53</v>
      </c>
    </row>
    <row r="3" customFormat="false" ht="15" hidden="false" customHeight="false" outlineLevel="0" collapsed="false">
      <c r="A3" s="5" t="s">
        <v>54</v>
      </c>
    </row>
    <row r="4" customFormat="false" ht="15" hidden="false" customHeight="false" outlineLevel="0" collapsed="false">
      <c r="A4" s="15" t="s">
        <v>55</v>
      </c>
      <c r="B4" s="16" t="s">
        <v>56</v>
      </c>
    </row>
    <row r="5" customFormat="false" ht="15" hidden="false" customHeight="false" outlineLevel="0" collapsed="false">
      <c r="A5" s="15" t="s">
        <v>57</v>
      </c>
      <c r="B5" s="16" t="s">
        <v>58</v>
      </c>
    </row>
    <row r="6" customFormat="false" ht="15" hidden="false" customHeight="false" outlineLevel="0" collapsed="false">
      <c r="A6" s="15" t="s">
        <v>59</v>
      </c>
      <c r="B6" s="17" t="n">
        <v>46208</v>
      </c>
    </row>
    <row r="7" customFormat="false" ht="15" hidden="false" customHeight="false" outlineLevel="0" collapsed="false">
      <c r="A7" s="15" t="s">
        <v>60</v>
      </c>
      <c r="B7" s="17" t="n">
        <f aca="false">$B$6+30</f>
        <v>46238</v>
      </c>
    </row>
    <row r="8" customFormat="false" ht="15" hidden="false" customHeight="false" outlineLevel="0" collapsed="false">
      <c r="A8" s="15" t="s">
        <v>61</v>
      </c>
      <c r="B8" s="16" t="s">
        <v>62</v>
      </c>
    </row>
    <row r="9" customFormat="false" ht="15" hidden="false" customHeight="false" outlineLevel="0" collapsed="false">
      <c r="A9" s="15" t="s">
        <v>63</v>
      </c>
      <c r="B9" s="18" t="s">
        <v>64</v>
      </c>
    </row>
    <row r="10" customFormat="false" ht="15" hidden="false" customHeight="false" outlineLevel="0" collapsed="false">
      <c r="A10" s="15" t="s">
        <v>65</v>
      </c>
      <c r="B10" s="16" t="s">
        <v>66</v>
      </c>
    </row>
    <row r="11" customFormat="false" ht="15" hidden="false" customHeight="false" outlineLevel="0" collapsed="false">
      <c r="A11" s="5" t="s">
        <v>67</v>
      </c>
    </row>
    <row r="12" customFormat="false" ht="15" hidden="false" customHeight="false" outlineLevel="0" collapsed="false">
      <c r="A12" s="15" t="s">
        <v>68</v>
      </c>
      <c r="B12" s="19" t="n">
        <v>0.2</v>
      </c>
      <c r="G12" s="20" t="s">
        <v>69</v>
      </c>
    </row>
    <row r="13" customFormat="false" ht="15" hidden="false" customHeight="false" outlineLevel="0" collapsed="false">
      <c r="A13" s="15" t="s">
        <v>70</v>
      </c>
      <c r="B13" s="21" t="n">
        <v>1.2</v>
      </c>
      <c r="G13" s="20" t="s">
        <v>71</v>
      </c>
    </row>
    <row r="14" customFormat="false" ht="15" hidden="false" customHeight="false" outlineLevel="0" collapsed="false">
      <c r="A14" s="15" t="s">
        <v>72</v>
      </c>
      <c r="B14" s="16" t="s">
        <v>73</v>
      </c>
      <c r="G14" s="20" t="s">
        <v>74</v>
      </c>
    </row>
    <row r="15" customFormat="false" ht="15" hidden="false" customHeight="false" outlineLevel="0" collapsed="false">
      <c r="A15" s="15" t="s">
        <v>75</v>
      </c>
      <c r="B15" s="22" t="n">
        <v>0.1</v>
      </c>
      <c r="G15" s="20" t="s">
        <v>76</v>
      </c>
    </row>
    <row r="16" customFormat="false" ht="15" hidden="false" customHeight="false" outlineLevel="0" collapsed="false">
      <c r="A16" s="15" t="s">
        <v>77</v>
      </c>
      <c r="B16" s="23" t="n">
        <v>20</v>
      </c>
      <c r="G16" s="20" t="s">
        <v>78</v>
      </c>
    </row>
    <row r="17" customFormat="false" ht="15" hidden="false" customHeight="false" outlineLevel="0" collapsed="false">
      <c r="A17" s="15" t="s">
        <v>79</v>
      </c>
      <c r="B17" s="24" t="n">
        <v>0</v>
      </c>
      <c r="G17" s="20" t="s">
        <v>80</v>
      </c>
    </row>
    <row r="18" customFormat="false" ht="15" hidden="false" customHeight="false" outlineLevel="0" collapsed="false">
      <c r="A18" s="15" t="s">
        <v>81</v>
      </c>
      <c r="B18" s="19" t="n">
        <v>0</v>
      </c>
      <c r="G18" s="20" t="s">
        <v>82</v>
      </c>
    </row>
    <row r="19" customFormat="false" ht="15" hidden="false" customHeight="false" outlineLevel="0" collapsed="false">
      <c r="A19" s="5" t="s">
        <v>83</v>
      </c>
      <c r="G19" s="20" t="s">
        <v>84</v>
      </c>
    </row>
    <row r="20" customFormat="false" ht="15" hidden="false" customHeight="false" outlineLevel="0" collapsed="false">
      <c r="A20" s="25" t="s">
        <v>85</v>
      </c>
      <c r="B20" s="25" t="s">
        <v>86</v>
      </c>
      <c r="C20" s="25" t="s">
        <v>87</v>
      </c>
      <c r="D20" s="25" t="s">
        <v>88</v>
      </c>
      <c r="E20" s="25" t="s">
        <v>89</v>
      </c>
      <c r="F20" s="25" t="s">
        <v>90</v>
      </c>
      <c r="G20" s="20" t="s">
        <v>91</v>
      </c>
    </row>
    <row r="21" customFormat="false" ht="15" hidden="false" customHeight="false" outlineLevel="0" collapsed="false">
      <c r="A21" s="18" t="s">
        <v>92</v>
      </c>
      <c r="B21" s="16" t="s">
        <v>93</v>
      </c>
      <c r="C21" s="24" t="n">
        <v>60000</v>
      </c>
      <c r="D21" s="24" t="n">
        <v>75000</v>
      </c>
      <c r="E21" s="26" t="n">
        <f aca="false">IF($D21="","",$D21*営業日月)</f>
        <v>1500000</v>
      </c>
      <c r="F21" s="27" t="n">
        <f aca="false">IF(OR($D21="",$D21=0),"",($D21-$C21)/$D21)</f>
        <v>0.2</v>
      </c>
    </row>
    <row r="22" customFormat="false" ht="15" hidden="false" customHeight="false" outlineLevel="0" collapsed="false">
      <c r="A22" s="18" t="s">
        <v>94</v>
      </c>
      <c r="B22" s="16" t="s">
        <v>95</v>
      </c>
      <c r="C22" s="24" t="n">
        <v>50000</v>
      </c>
      <c r="D22" s="24" t="n">
        <v>75000</v>
      </c>
      <c r="E22" s="26" t="n">
        <f aca="false">IF($D22="","",$D22*営業日月)</f>
        <v>1500000</v>
      </c>
      <c r="F22" s="27" t="n">
        <f aca="false">IF(OR($D22="",$D22=0),"",($D22-$C22)/$D22)</f>
        <v>0.333333333333333</v>
      </c>
    </row>
    <row r="23" customFormat="false" ht="15" hidden="false" customHeight="false" outlineLevel="0" collapsed="false">
      <c r="A23" s="18" t="s">
        <v>96</v>
      </c>
      <c r="B23" s="16" t="s">
        <v>97</v>
      </c>
      <c r="C23" s="24" t="n">
        <v>60000</v>
      </c>
      <c r="D23" s="24" t="n">
        <v>75000</v>
      </c>
      <c r="E23" s="26" t="n">
        <f aca="false">IF($D23="","",$D23*営業日月)</f>
        <v>1500000</v>
      </c>
      <c r="F23" s="27" t="n">
        <f aca="false">IF(OR($D23="",$D23=0),"",($D23-$C23)/$D23)</f>
        <v>0.2</v>
      </c>
    </row>
    <row r="24" customFormat="false" ht="15" hidden="false" customHeight="false" outlineLevel="0" collapsed="false">
      <c r="A24" s="16" t="s">
        <v>98</v>
      </c>
      <c r="B24" s="18" t="s">
        <v>99</v>
      </c>
      <c r="C24" s="24" t="n">
        <v>50000</v>
      </c>
      <c r="D24" s="24" t="n">
        <v>75000</v>
      </c>
      <c r="E24" s="26" t="n">
        <f aca="false">IF($D24="","",$D24*営業日月)</f>
        <v>1500000</v>
      </c>
      <c r="F24" s="27" t="n">
        <f aca="false">IF(OR($D24="",$D24=0),"",($D24-$C24)/$D24)</f>
        <v>0.333333333333333</v>
      </c>
    </row>
    <row r="25" customFormat="false" ht="15" hidden="false" customHeight="false" outlineLevel="0" collapsed="false">
      <c r="A25" s="16" t="s">
        <v>100</v>
      </c>
      <c r="B25" s="16" t="s">
        <v>101</v>
      </c>
      <c r="C25" s="24" t="n">
        <v>50000</v>
      </c>
      <c r="D25" s="24" t="n">
        <v>75000</v>
      </c>
      <c r="E25" s="26" t="n">
        <f aca="false">IF($D25="","",$D25*営業日月)</f>
        <v>1500000</v>
      </c>
      <c r="F25" s="27" t="n">
        <f aca="false">IF(OR($D25="",$D25=0),"",($D25-$C25)/$D25)</f>
        <v>0.333333333333333</v>
      </c>
    </row>
    <row r="26" customFormat="false" ht="15" hidden="false" customHeight="false" outlineLevel="0" collapsed="false">
      <c r="A26" s="16" t="s">
        <v>102</v>
      </c>
      <c r="B26" s="16" t="s">
        <v>103</v>
      </c>
      <c r="C26" s="24" t="n">
        <v>50000</v>
      </c>
      <c r="D26" s="24" t="n">
        <v>75000</v>
      </c>
      <c r="E26" s="26" t="n">
        <f aca="false">IF($D26="","",$D26*営業日月)</f>
        <v>1500000</v>
      </c>
      <c r="F26" s="27" t="n">
        <f aca="false">IF(OR($D26="",$D26=0),"",($D26-$C26)/$D26)</f>
        <v>0.333333333333333</v>
      </c>
    </row>
    <row r="27" customFormat="false" ht="15" hidden="false" customHeight="false" outlineLevel="0" collapsed="false">
      <c r="A27" s="16" t="s">
        <v>104</v>
      </c>
      <c r="B27" s="16" t="s">
        <v>105</v>
      </c>
      <c r="C27" s="24" t="n">
        <v>50000</v>
      </c>
      <c r="D27" s="24" t="n">
        <v>75000</v>
      </c>
      <c r="E27" s="26" t="n">
        <f aca="false">IF($D27="","",$D27*営業日月)</f>
        <v>1500000</v>
      </c>
      <c r="F27" s="27" t="n">
        <f aca="false">IF(OR($D27="",$D27=0),"",($D27-$C27)/$D27)</f>
        <v>0.333333333333333</v>
      </c>
    </row>
    <row r="28" customFormat="false" ht="15" hidden="false" customHeight="false" outlineLevel="0" collapsed="false">
      <c r="A28" s="16" t="s">
        <v>106</v>
      </c>
      <c r="B28" s="16" t="s">
        <v>107</v>
      </c>
      <c r="C28" s="24" t="n">
        <v>35000</v>
      </c>
      <c r="D28" s="24" t="n">
        <v>50000</v>
      </c>
      <c r="E28" s="26" t="n">
        <f aca="false">IF($D28="","",$D28*営業日月)</f>
        <v>1000000</v>
      </c>
      <c r="F28" s="27" t="n">
        <f aca="false">IF(OR($D28="",$D28=0),"",($D28-$C28)/$D28)</f>
        <v>0.3</v>
      </c>
    </row>
    <row r="29" customFormat="false" ht="15" hidden="false" customHeight="false" outlineLevel="0" collapsed="false">
      <c r="A29" s="18" t="s">
        <v>108</v>
      </c>
      <c r="B29" s="16" t="s">
        <v>109</v>
      </c>
      <c r="C29" s="24" t="n">
        <v>40000</v>
      </c>
      <c r="D29" s="24" t="n">
        <v>60000</v>
      </c>
      <c r="E29" s="26" t="n">
        <f aca="false">IF($D29="","",$D29*営業日月)</f>
        <v>1200000</v>
      </c>
      <c r="F29" s="27" t="n">
        <f aca="false">IF(OR($D29="",$D29=0),"",($D29-$C29)/$D29)</f>
        <v>0.333333333333333</v>
      </c>
    </row>
    <row r="30" customFormat="false" ht="15" hidden="false" customHeight="false" outlineLevel="0" collapsed="false">
      <c r="A30" s="16"/>
      <c r="B30" s="16"/>
      <c r="C30" s="24"/>
      <c r="D30" s="24"/>
      <c r="E30" s="26" t="str">
        <f aca="false">IF($D30="","",$D30*営業日月)</f>
        <v/>
      </c>
      <c r="F30" s="27" t="str">
        <f aca="false">IF(OR($D30="",$D30=0),"",($D30-$C30)/$D30)</f>
        <v/>
      </c>
    </row>
    <row r="32" customFormat="false" ht="15" hidden="false" customHeight="false" outlineLevel="0" collapsed="false">
      <c r="A32" s="20" t="s">
        <v>110</v>
      </c>
    </row>
    <row r="34" customFormat="false" ht="15" hidden="false" customHeight="false" outlineLevel="0" collapsed="false">
      <c r="A34" s="5" t="s">
        <v>111</v>
      </c>
    </row>
    <row r="35" customFormat="false" ht="15" hidden="false" customHeight="false" outlineLevel="0" collapsed="false">
      <c r="A35" s="25" t="s">
        <v>112</v>
      </c>
      <c r="B35" s="25" t="s">
        <v>113</v>
      </c>
      <c r="C35" s="25" t="s">
        <v>114</v>
      </c>
      <c r="D35" s="25" t="s">
        <v>115</v>
      </c>
    </row>
    <row r="36" customFormat="false" ht="15" hidden="false" customHeight="false" outlineLevel="0" collapsed="false">
      <c r="A36" s="17" t="n">
        <v>46208</v>
      </c>
      <c r="B36" s="18" t="s">
        <v>64</v>
      </c>
      <c r="C36" s="16" t="s">
        <v>66</v>
      </c>
      <c r="D36" s="16" t="s">
        <v>116</v>
      </c>
    </row>
    <row r="37" customFormat="false" ht="15" hidden="false" customHeight="false" outlineLevel="0" collapsed="false">
      <c r="A37" s="16"/>
      <c r="B37" s="16"/>
      <c r="C37" s="16"/>
      <c r="D37" s="16"/>
    </row>
    <row r="38" customFormat="false" ht="15" hidden="false" customHeight="false" outlineLevel="0" collapsed="false">
      <c r="A38" s="16"/>
      <c r="B38" s="16"/>
      <c r="C38" s="16"/>
      <c r="D38" s="16"/>
    </row>
    <row r="39" customFormat="false" ht="15" hidden="false" customHeight="false" outlineLevel="0" collapsed="false">
      <c r="A39" s="16"/>
      <c r="B39" s="16"/>
      <c r="C39" s="16"/>
      <c r="D39" s="16"/>
    </row>
    <row r="41" customFormat="false" ht="15" hidden="false" customHeight="false" outlineLevel="0" collapsed="false">
      <c r="A41" s="28" t="s">
        <v>117</v>
      </c>
    </row>
  </sheetData>
  <sheetProtection sheet="true" formatCells="false" formatColumns="false" formatRows="false" insertRows="false" deleteRows="false" sort="false" autoFilter="false"/>
  <dataValidations count="2">
    <dataValidation allowBlank="true" errorStyle="stop" operator="between" showDropDown="false" showErrorMessage="false" showInputMessage="false" sqref="B14" type="list">
      <formula1>"✓,－"</formula1>
      <formula2>0</formula2>
    </dataValidation>
    <dataValidation allowBlank="true" error="値引きは正の数で入力してください（例: 100000）" errorStyle="stop" errorTitle="値引きの入力" operator="greaterThanOrEqual" showDropDown="false" showErrorMessage="true" showInputMessage="false" sqref="B1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4453125" defaultRowHeight="15" customHeight="false" zeroHeight="false" outlineLevelRow="0" outlineLevelCol="0"/>
  <cols>
    <col collapsed="false" customWidth="true" hidden="false" outlineLevel="0" max="1" min="1" style="0" width="29.95"/>
    <col collapsed="false" customWidth="true" hidden="false" outlineLevel="0" max="2" min="2" style="0" width="84.57"/>
  </cols>
  <sheetData>
    <row r="1" customFormat="false" ht="17.15" hidden="false" customHeight="false" outlineLevel="0" collapsed="false">
      <c r="A1" s="1" t="s">
        <v>118</v>
      </c>
    </row>
    <row r="2" customFormat="false" ht="15" hidden="false" customHeight="false" outlineLevel="0" collapsed="false">
      <c r="A2" s="20" t="s">
        <v>119</v>
      </c>
    </row>
    <row r="4" customFormat="false" ht="24" hidden="false" customHeight="true" outlineLevel="0" collapsed="false">
      <c r="A4" s="29" t="s">
        <v>120</v>
      </c>
      <c r="B4" s="30" t="s">
        <v>121</v>
      </c>
    </row>
    <row r="5" customFormat="false" ht="15" hidden="false" customHeight="false" outlineLevel="0" collapsed="false">
      <c r="A5" s="15"/>
      <c r="B5" s="30"/>
    </row>
    <row r="7" customFormat="false" ht="24" hidden="false" customHeight="true" outlineLevel="0" collapsed="false">
      <c r="A7" s="29" t="s">
        <v>122</v>
      </c>
      <c r="B7" s="30" t="s">
        <v>123</v>
      </c>
    </row>
    <row r="8" customFormat="false" ht="15" hidden="false" customHeight="false" outlineLevel="0" collapsed="false">
      <c r="A8" s="15"/>
      <c r="B8" s="30"/>
    </row>
    <row r="10" customFormat="false" ht="24" hidden="false" customHeight="true" outlineLevel="0" collapsed="false">
      <c r="A10" s="29" t="s">
        <v>124</v>
      </c>
      <c r="B10" s="30" t="s">
        <v>125</v>
      </c>
    </row>
    <row r="11" customFormat="false" ht="24" hidden="false" customHeight="true" outlineLevel="0" collapsed="false">
      <c r="A11" s="29"/>
      <c r="B11" s="30" t="s">
        <v>126</v>
      </c>
    </row>
    <row r="12" customFormat="false" ht="24" hidden="false" customHeight="true" outlineLevel="0" collapsed="false">
      <c r="A12" s="29"/>
      <c r="B12" s="30" t="s">
        <v>127</v>
      </c>
    </row>
    <row r="13" customFormat="false" ht="24" hidden="false" customHeight="true" outlineLevel="0" collapsed="false">
      <c r="A13" s="29"/>
      <c r="B13" s="30" t="s">
        <v>128</v>
      </c>
    </row>
    <row r="14" customFormat="false" ht="24" hidden="false" customHeight="true" outlineLevel="0" collapsed="false">
      <c r="A14" s="29"/>
      <c r="B14" s="30" t="s">
        <v>129</v>
      </c>
    </row>
    <row r="15" customFormat="false" ht="15" hidden="false" customHeight="false" outlineLevel="0" collapsed="false">
      <c r="A15" s="15"/>
      <c r="B15" s="30"/>
    </row>
    <row r="17" customFormat="false" ht="24" hidden="false" customHeight="true" outlineLevel="0" collapsed="false">
      <c r="A17" s="29" t="s">
        <v>130</v>
      </c>
      <c r="B17" s="30" t="s">
        <v>131</v>
      </c>
    </row>
    <row r="18" customFormat="false" ht="15" hidden="false" customHeight="false" outlineLevel="0" collapsed="false">
      <c r="A18" s="15"/>
      <c r="B18" s="30"/>
    </row>
    <row r="20" customFormat="false" ht="24" hidden="false" customHeight="true" outlineLevel="0" collapsed="false">
      <c r="A20" s="29" t="s">
        <v>132</v>
      </c>
      <c r="B20" s="31" t="s">
        <v>133</v>
      </c>
    </row>
    <row r="21" customFormat="false" ht="24" hidden="false" customHeight="true" outlineLevel="0" collapsed="false">
      <c r="A21" s="29"/>
      <c r="B21" s="30" t="s">
        <v>134</v>
      </c>
    </row>
    <row r="22" customFormat="false" ht="15" hidden="false" customHeight="false" outlineLevel="0" collapsed="false">
      <c r="A22" s="15"/>
      <c r="B22" s="30"/>
    </row>
    <row r="24" customFormat="false" ht="24" hidden="false" customHeight="true" outlineLevel="0" collapsed="false">
      <c r="A24" s="29" t="s">
        <v>135</v>
      </c>
      <c r="B24" s="30" t="s">
        <v>136</v>
      </c>
    </row>
    <row r="25" customFormat="false" ht="15" hidden="false" customHeight="false" outlineLevel="0" collapsed="false">
      <c r="A25" s="15"/>
      <c r="B25" s="30"/>
    </row>
    <row r="27" customFormat="false" ht="24" hidden="false" customHeight="true" outlineLevel="0" collapsed="false">
      <c r="A27" s="29" t="s">
        <v>137</v>
      </c>
      <c r="B27" s="30" t="s">
        <v>138</v>
      </c>
    </row>
    <row r="28" customFormat="false" ht="15" hidden="false" customHeight="false" outlineLevel="0" collapsed="false">
      <c r="A28" s="15"/>
      <c r="B28" s="30"/>
    </row>
    <row r="30" customFormat="false" ht="24" hidden="false" customHeight="true" outlineLevel="0" collapsed="false">
      <c r="A30" s="29" t="s">
        <v>139</v>
      </c>
      <c r="B30" s="30" t="s">
        <v>140</v>
      </c>
    </row>
    <row r="31" customFormat="false" ht="15" hidden="false" customHeight="false" outlineLevel="0" collapsed="false">
      <c r="A31" s="15"/>
      <c r="B31" s="30"/>
    </row>
    <row r="33" customFormat="false" ht="24" hidden="false" customHeight="true" outlineLevel="0" collapsed="false">
      <c r="A33" s="29" t="s">
        <v>141</v>
      </c>
      <c r="B33" s="30" t="s">
        <v>142</v>
      </c>
    </row>
    <row r="34" customFormat="false" ht="15" hidden="false" customHeight="false" outlineLevel="0" collapsed="false">
      <c r="A34" s="15"/>
      <c r="B34" s="30"/>
    </row>
    <row r="36" customFormat="false" ht="15" hidden="false" customHeight="false" outlineLevel="0" collapsed="false">
      <c r="A36" s="28" t="s">
        <v>143</v>
      </c>
    </row>
  </sheetData>
  <sheetProtection sheet="true" formatCells="false" formatColumns="false" formatRows="false" insertRows="false" deleteRows="false" sort="false" autoFilter="false"/>
  <dataValidations count="1">
    <dataValidation allowBlank="true" errorStyle="stop" operator="between" showDropDown="false" showErrorMessage="false" showInputMessage="false" sqref="B17" type="list">
      <formula1>"請負,準委任,上流＝準委任 ／ 下流＝請負,併用（詳細は備考）"</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4453125" defaultRowHeight="15" customHeight="false" zeroHeight="false" outlineLevelRow="0" outlineLevelCol="1"/>
  <cols>
    <col collapsed="false" customWidth="true" hidden="false" outlineLevel="0" max="1" min="1" style="0" width="2.64"/>
    <col collapsed="false" customWidth="true" hidden="false" outlineLevel="0" max="2" min="2" style="0" width="26.43"/>
    <col collapsed="false" customWidth="true" hidden="false" outlineLevel="0" max="3" min="3" style="0" width="11.45"/>
    <col collapsed="false" customWidth="true" hidden="false" outlineLevel="0" max="4" min="4" style="0" width="14.1"/>
    <col collapsed="false" customWidth="true" hidden="false" outlineLevel="0" max="5" min="5" style="0" width="2.64"/>
    <col collapsed="false" customWidth="true" hidden="false" outlineLevel="1" max="7" min="6" style="0" width="13.21"/>
  </cols>
  <sheetData>
    <row r="1" customFormat="false" ht="17.15" hidden="false" customHeight="false" outlineLevel="0" collapsed="false">
      <c r="B1" s="1" t="str">
        <f aca="false">"御見積書｜"&amp;設定!$B$4&amp;""</f>
        <v>御見積書｜○○アプリ / システム開発（案件名に書き換え）</v>
      </c>
    </row>
    <row r="2" customFormat="false" ht="15" hidden="false" customHeight="false" outlineLevel="0" collapsed="false">
      <c r="B2" s="5" t="str">
        <f aca="false">設定!$B$5&amp;" 御中"</f>
        <v>株式会社○○ 御中</v>
      </c>
    </row>
    <row r="3" customFormat="false" ht="15" hidden="false" customHeight="false" outlineLevel="0" collapsed="false">
      <c r="B3" s="2" t="str">
        <f aca="false">"作成日: "&amp;TEXT(設定!$B$6,"yyyy/mm/dd")&amp;"　有効期限: "&amp;TEXT(設定!$B$7,"yyyy/mm/dd")&amp;"　見積精度: "&amp;設定!$B$8&amp;"　Ver."&amp;設定!$B$9</f>
        <v>作成日: 2026/07/05　有効期限: 2026/08/04　見積精度: 概算 −20%〜+30%　Ver.1.0</v>
      </c>
    </row>
    <row r="4" customFormat="false" ht="15" hidden="false" customHeight="false" outlineLevel="0" collapsed="false">
      <c r="B4" s="20" t="s">
        <v>144</v>
      </c>
    </row>
    <row r="6" customFormat="false" ht="15" hidden="false" customHeight="false" outlineLevel="0" collapsed="false">
      <c r="B6" s="5" t="s">
        <v>145</v>
      </c>
    </row>
    <row r="7" customFormat="false" ht="22.35" hidden="false" customHeight="false" outlineLevel="0" collapsed="false">
      <c r="B7" s="32" t="s">
        <v>55</v>
      </c>
      <c r="C7" s="33" t="str">
        <f aca="false">設定!$B$4</f>
        <v>○○アプリ / システム開発（案件名に書き換え）</v>
      </c>
      <c r="D7" s="33"/>
    </row>
    <row r="8" customFormat="false" ht="15" hidden="false" customHeight="false" outlineLevel="0" collapsed="false">
      <c r="B8" s="32" t="s">
        <v>146</v>
      </c>
      <c r="C8" s="33" t="str">
        <f aca="false">設定!$B$5&amp;" 御中"</f>
        <v>株式会社○○ 御中</v>
      </c>
      <c r="D8" s="33"/>
    </row>
    <row r="9" customFormat="false" ht="15" hidden="false" customHeight="false" outlineLevel="0" collapsed="false">
      <c r="B9" s="32" t="s">
        <v>147</v>
      </c>
      <c r="C9" s="33" t="str">
        <f aca="false">IF(前提条件!$B17="","（前提条件シートに記入）",前提条件!$B17)</f>
        <v>請負</v>
      </c>
      <c r="D9" s="33"/>
    </row>
    <row r="10" customFormat="false" ht="32.05" hidden="false" customHeight="false" outlineLevel="0" collapsed="false">
      <c r="B10" s="32" t="s">
        <v>148</v>
      </c>
      <c r="C10" s="33" t="str">
        <f aca="false">IF(前提条件!$B7="","（前提条件シートに記入）",前提条件!$B7)</f>
        <v>要件定義 ／ デザイン ／ 設計 ／ 開発 ／ テスト ／ リリース（PM・全体管理を含む）</v>
      </c>
      <c r="D10" s="33"/>
    </row>
    <row r="11" customFormat="false" ht="15" hidden="false" customHeight="false" outlineLevel="0" collapsed="false">
      <c r="B11" s="32" t="s">
        <v>149</v>
      </c>
      <c r="C11" s="33" t="str">
        <f aca="false">IF(前提条件!$B10="","（前提条件シートに記入）",前提条件!$B10)</f>
        <v>運用・保守（別途契約）</v>
      </c>
      <c r="D11" s="33"/>
    </row>
    <row r="12" customFormat="false" ht="15" hidden="false" customHeight="false" outlineLevel="0" collapsed="false">
      <c r="B12" s="32" t="s">
        <v>150</v>
      </c>
      <c r="C12" s="33" t="str">
        <f aca="false">TEXT(設定!$B$6,"yyyy/mm/dd")&amp;"　〜　"&amp;TEXT(設定!$B$7,"yyyy/mm/dd")</f>
        <v>2026/07/05　〜　2026/08/04</v>
      </c>
      <c r="D12" s="33"/>
    </row>
    <row r="13" customFormat="false" ht="15" hidden="false" customHeight="false" outlineLevel="0" collapsed="false">
      <c r="B13" s="32" t="s">
        <v>61</v>
      </c>
      <c r="C13" s="33" t="str">
        <f aca="false">設定!$B$8</f>
        <v>概算 −20%〜+30%</v>
      </c>
      <c r="D13" s="33"/>
    </row>
    <row r="15" customFormat="false" ht="15" hidden="false" customHeight="false" outlineLevel="0" collapsed="false">
      <c r="B15" s="5" t="s">
        <v>151</v>
      </c>
      <c r="F15" s="20" t="s">
        <v>152</v>
      </c>
    </row>
    <row r="16" customFormat="false" ht="15" hidden="false" customHeight="false" outlineLevel="0" collapsed="false">
      <c r="B16" s="25" t="s">
        <v>153</v>
      </c>
      <c r="C16" s="25" t="s">
        <v>154</v>
      </c>
      <c r="D16" s="25" t="s">
        <v>155</v>
      </c>
      <c r="F16" s="25" t="s">
        <v>156</v>
      </c>
      <c r="G16" s="25" t="s">
        <v>157</v>
      </c>
    </row>
    <row r="17" customFormat="false" ht="15" hidden="false" customHeight="false" outlineLevel="0" collapsed="false">
      <c r="B17" s="34" t="s">
        <v>158</v>
      </c>
      <c r="C17" s="35" t="n">
        <f aca="false">SUMIFS(見積書!$G:$G,見積書!$BH:$BH,"leaf",見積書!$A:$A,"&lt;&gt;－")</f>
        <v>190</v>
      </c>
      <c r="D17" s="36" t="n">
        <f aca="false">SUMIFS(見積書!$I:$I,見積書!$BH:$BH,"leaf",見積書!$A:$A,"&lt;&gt;－")+SUMIFS(見積書!$I:$I,見積書!$BH:$BH,"pm",見積書!$A:$A,"&lt;&gt;－")</f>
        <v>15270000</v>
      </c>
      <c r="E17" s="34"/>
      <c r="F17" s="36" t="n">
        <f aca="false">SUMIFS(見積書!$J:$J,見積書!$BH:$BH,"leaf",見積書!$A:$A,"&lt;&gt;－")+SUMIFS(見積書!$J:$J,見積書!$BH:$BH,"pm",見積書!$A:$A,"&lt;&gt;－")</f>
        <v>11004000</v>
      </c>
      <c r="G17" s="37" t="n">
        <f aca="false">IFERROR((D17-F17)/D17,"")</f>
        <v>0.279371316306483</v>
      </c>
    </row>
    <row r="18" customFormat="false" ht="15" hidden="false" customHeight="false" outlineLevel="0" collapsed="false">
      <c r="B18" s="15" t="s">
        <v>159</v>
      </c>
      <c r="C18" s="38" t="n">
        <f aca="false">SUMIFS(見積書!$G:$G,見積書!$BH:$BH,"leaf",見積書!$A:$A,"&lt;&gt;－",見積書!$B:$B,"要件定義")</f>
        <v>25</v>
      </c>
      <c r="D18" s="26" t="n">
        <f aca="false">SUMIFS(見積書!$I:$I,見積書!$BH:$BH,"leaf",見積書!$A:$A,"&lt;&gt;－",見積書!$B:$B,"要件定義")+SUMIFS(見積書!$I:$I,見積書!$BH:$BH,"pm",見積書!$A:$A,"&lt;&gt;－",見積書!$B:$B,"要件定義")</f>
        <v>2250000</v>
      </c>
      <c r="F18" s="26" t="n">
        <f aca="false">SUMIFS(見積書!$J:$J,見積書!$BH:$BH,"leaf",見積書!$A:$A,"&lt;&gt;－",見積書!$B:$B,"要件定義")+SUMIFS(見積書!$J:$J,見積書!$BH:$BH,"pm",見積書!$A:$A,"&lt;&gt;－",見積書!$B:$B,"要件定義")</f>
        <v>1800000</v>
      </c>
      <c r="G18" s="27" t="n">
        <f aca="false">IFERROR((D18-F18)/D18,"")</f>
        <v>0.2</v>
      </c>
    </row>
    <row r="19" customFormat="false" ht="15" hidden="false" customHeight="false" outlineLevel="0" collapsed="false">
      <c r="B19" s="15" t="s">
        <v>160</v>
      </c>
      <c r="C19" s="38" t="n">
        <f aca="false">SUMIFS(見積書!$G:$G,見積書!$BH:$BH,"leaf",見積書!$A:$A,"&lt;&gt;－",見積書!$B:$B,"デザイン")</f>
        <v>31</v>
      </c>
      <c r="D19" s="26" t="n">
        <f aca="false">SUMIFS(見積書!$I:$I,見積書!$BH:$BH,"leaf",見積書!$A:$A,"&lt;&gt;－",見積書!$B:$B,"デザイン")+SUMIFS(見積書!$I:$I,見積書!$BH:$BH,"pm",見積書!$A:$A,"&lt;&gt;－",見積書!$B:$B,"デザイン")</f>
        <v>2790000</v>
      </c>
      <c r="F19" s="26" t="n">
        <f aca="false">SUMIFS(見積書!$J:$J,見積書!$BH:$BH,"leaf",見積書!$A:$A,"&lt;&gt;－",見積書!$B:$B,"デザイン")+SUMIFS(見積書!$J:$J,見積書!$BH:$BH,"pm",見積書!$A:$A,"&lt;&gt;－",見積書!$B:$B,"デザイン")</f>
        <v>1860000</v>
      </c>
      <c r="G19" s="27" t="n">
        <f aca="false">IFERROR((D19-F19)/D19,"")</f>
        <v>0.333333333333333</v>
      </c>
    </row>
    <row r="20" customFormat="false" ht="15" hidden="false" customHeight="false" outlineLevel="0" collapsed="false">
      <c r="B20" s="15" t="s">
        <v>161</v>
      </c>
      <c r="C20" s="38" t="n">
        <f aca="false">SUMIFS(見積書!$G:$G,見積書!$BH:$BH,"leaf",見積書!$A:$A,"&lt;&gt;－",見積書!$B:$B,"設計")</f>
        <v>31</v>
      </c>
      <c r="D20" s="26" t="n">
        <f aca="false">SUMIFS(見積書!$I:$I,見積書!$BH:$BH,"leaf",見積書!$A:$A,"&lt;&gt;－",見積書!$B:$B,"設計")+SUMIFS(見積書!$I:$I,見積書!$BH:$BH,"pm",見積書!$A:$A,"&lt;&gt;－",見積書!$B:$B,"設計")</f>
        <v>2790000</v>
      </c>
      <c r="F20" s="26" t="n">
        <f aca="false">SUMIFS(見積書!$J:$J,見積書!$BH:$BH,"leaf",見積書!$A:$A,"&lt;&gt;－",見積書!$B:$B,"設計")+SUMIFS(見積書!$J:$J,見積書!$BH:$BH,"pm",見積書!$A:$A,"&lt;&gt;－",見積書!$B:$B,"設計")</f>
        <v>2076000</v>
      </c>
      <c r="G20" s="27" t="n">
        <f aca="false">IFERROR((D20-F20)/D20,"")</f>
        <v>0.255913978494624</v>
      </c>
    </row>
    <row r="21" customFormat="false" ht="15" hidden="false" customHeight="false" outlineLevel="0" collapsed="false">
      <c r="B21" s="15" t="s">
        <v>162</v>
      </c>
      <c r="C21" s="38" t="n">
        <f aca="false">SUMIFS(見積書!$G:$G,見積書!$BH:$BH,"leaf",見積書!$A:$A,"&lt;&gt;－",見積書!$B:$B,"開発")</f>
        <v>69</v>
      </c>
      <c r="D21" s="26" t="n">
        <f aca="false">SUMIFS(見積書!$I:$I,見積書!$BH:$BH,"leaf",見積書!$A:$A,"&lt;&gt;－",見積書!$B:$B,"開発")+SUMIFS(見積書!$I:$I,見積書!$BH:$BH,"pm",見積書!$A:$A,"&lt;&gt;－",見積書!$B:$B,"開発")</f>
        <v>4830000</v>
      </c>
      <c r="F21" s="26" t="n">
        <f aca="false">SUMIFS(見積書!$J:$J,見積書!$BH:$BH,"leaf",見積書!$A:$A,"&lt;&gt;－",見積書!$B:$B,"開発")+SUMIFS(見積書!$J:$J,見積書!$BH:$BH,"pm",見積書!$A:$A,"&lt;&gt;－",見積書!$B:$B,"開発")</f>
        <v>3372000</v>
      </c>
      <c r="G21" s="27" t="n">
        <f aca="false">IFERROR((D21-F21)/D21,"")</f>
        <v>0.301863354037267</v>
      </c>
    </row>
    <row r="22" customFormat="false" ht="15" hidden="false" customHeight="false" outlineLevel="0" collapsed="false">
      <c r="B22" s="15" t="s">
        <v>163</v>
      </c>
      <c r="C22" s="38" t="n">
        <f aca="false">SUMIFS(見積書!$G:$G,見積書!$BH:$BH,"leaf",見積書!$A:$A,"&lt;&gt;－",見積書!$B:$B,"テスト")</f>
        <v>28</v>
      </c>
      <c r="D22" s="26" t="n">
        <f aca="false">SUMIFS(見積書!$I:$I,見積書!$BH:$BH,"leaf",見積書!$A:$A,"&lt;&gt;－",見積書!$B:$B,"テスト")+SUMIFS(見積書!$I:$I,見積書!$BH:$BH,"pm",見積書!$A:$A,"&lt;&gt;－",見積書!$B:$B,"テスト")</f>
        <v>2160000</v>
      </c>
      <c r="F22" s="26" t="n">
        <f aca="false">SUMIFS(見積書!$J:$J,見積書!$BH:$BH,"leaf",見積書!$A:$A,"&lt;&gt;－",見積書!$B:$B,"テスト")+SUMIFS(見積書!$J:$J,見積書!$BH:$BH,"pm",見積書!$A:$A,"&lt;&gt;－",見積書!$B:$B,"テスト")</f>
        <v>1536000</v>
      </c>
      <c r="G22" s="27" t="n">
        <f aca="false">IFERROR((D22-F22)/D22,"")</f>
        <v>0.288888888888889</v>
      </c>
    </row>
    <row r="23" customFormat="false" ht="15" hidden="false" customHeight="false" outlineLevel="0" collapsed="false">
      <c r="B23" s="15" t="s">
        <v>164</v>
      </c>
      <c r="C23" s="38" t="n">
        <f aca="false">SUMIFS(見積書!$G:$G,見積書!$BH:$BH,"leaf",見積書!$A:$A,"&lt;&gt;－",見積書!$B:$B,"リリース")</f>
        <v>6</v>
      </c>
      <c r="D23" s="26" t="n">
        <f aca="false">SUMIFS(見積書!$I:$I,見積書!$BH:$BH,"leaf",見積書!$A:$A,"&lt;&gt;－",見積書!$B:$B,"リリース")+SUMIFS(見積書!$I:$I,見積書!$BH:$BH,"pm",見積書!$A:$A,"&lt;&gt;－",見積書!$B:$B,"リリース")</f>
        <v>450000</v>
      </c>
      <c r="F23" s="26" t="n">
        <f aca="false">SUMIFS(見積書!$J:$J,見積書!$BH:$BH,"leaf",見積書!$A:$A,"&lt;&gt;－",見積書!$B:$B,"リリース")+SUMIFS(見積書!$J:$J,見積書!$BH:$BH,"pm",見積書!$A:$A,"&lt;&gt;－",見積書!$B:$B,"リリース")</f>
        <v>360000</v>
      </c>
      <c r="G23" s="27" t="n">
        <f aca="false">IFERROR((D23-F23)/D23,"")</f>
        <v>0.2</v>
      </c>
    </row>
    <row r="25" customFormat="false" ht="15" hidden="false" customHeight="false" outlineLevel="0" collapsed="false">
      <c r="B25" s="15" t="s">
        <v>165</v>
      </c>
      <c r="C25" s="15"/>
      <c r="D25" s="26" t="n">
        <f aca="false">D17</f>
        <v>15270000</v>
      </c>
    </row>
    <row r="26" customFormat="false" ht="15" hidden="false" customHeight="false" outlineLevel="0" collapsed="false">
      <c r="B26" s="15" t="s">
        <v>166</v>
      </c>
      <c r="C26" s="15"/>
      <c r="D26" s="26" t="n">
        <f aca="false">IF(バッファ適用="✓",ROUND(D17*(バッファ係数-1),0),0)</f>
        <v>0</v>
      </c>
    </row>
    <row r="27" customFormat="false" ht="15" hidden="false" customHeight="false" outlineLevel="0" collapsed="false">
      <c r="B27" s="15" t="s">
        <v>167</v>
      </c>
      <c r="C27" s="15"/>
      <c r="D27" s="26" t="n">
        <f aca="false">ROUND(D17*体制維持費率,0)</f>
        <v>0</v>
      </c>
    </row>
    <row r="28" customFormat="false" ht="15" hidden="false" customHeight="false" outlineLevel="0" collapsed="false">
      <c r="B28" s="15" t="s">
        <v>168</v>
      </c>
      <c r="C28" s="15"/>
      <c r="D28" s="26" t="n">
        <f aca="false">-値引き</f>
        <v>-0</v>
      </c>
    </row>
    <row r="29" customFormat="false" ht="15" hidden="false" customHeight="false" outlineLevel="0" collapsed="false">
      <c r="B29" s="34" t="s">
        <v>169</v>
      </c>
      <c r="C29" s="34"/>
      <c r="D29" s="36" t="n">
        <f aca="false">SUM(D25:D28)</f>
        <v>15270000</v>
      </c>
    </row>
    <row r="30" customFormat="false" ht="15" hidden="false" customHeight="false" outlineLevel="0" collapsed="false">
      <c r="B30" s="15" t="str">
        <f aca="false">"消費税（"&amp;TEXT(税率,"0%")&amp;"）"</f>
        <v>消費税（10%）</v>
      </c>
      <c r="C30" s="15"/>
      <c r="D30" s="26" t="n">
        <f aca="false">ROUND(D29*税率,0)</f>
        <v>1527000</v>
      </c>
    </row>
    <row r="31" customFormat="false" ht="15" hidden="false" customHeight="false" outlineLevel="0" collapsed="false">
      <c r="B31" s="39" t="s">
        <v>170</v>
      </c>
      <c r="C31" s="39"/>
      <c r="D31" s="40" t="n">
        <f aca="false">D29+D30</f>
        <v>16797000</v>
      </c>
    </row>
    <row r="33" customFormat="false" ht="15" hidden="false" customHeight="false" outlineLevel="0" collapsed="false">
      <c r="B33" s="5" t="s">
        <v>171</v>
      </c>
    </row>
    <row r="34" customFormat="false" ht="15" hidden="false" customHeight="false" outlineLevel="0" collapsed="false">
      <c r="B34" s="15" t="s">
        <v>172</v>
      </c>
      <c r="C34" s="15"/>
      <c r="D34" s="27" t="n">
        <f aca="false">IFERROR((D29-F17)/D29,"")</f>
        <v>0.279371316306483</v>
      </c>
    </row>
    <row r="35" customFormat="false" ht="15" hidden="false" customHeight="false" outlineLevel="0" collapsed="false">
      <c r="B35" s="15" t="s">
        <v>173</v>
      </c>
      <c r="C35" s="15"/>
      <c r="D35" s="27" t="n">
        <f aca="false">IFERROR((D29-F17*バッファ係数)/D29,"")</f>
        <v>0.13524557956778</v>
      </c>
    </row>
    <row r="37" customFormat="false" ht="15" hidden="false" customHeight="false" outlineLevel="0" collapsed="false">
      <c r="B37" s="28" t="s">
        <v>174</v>
      </c>
    </row>
  </sheetData>
  <sheetProtection sheet="true" formatCells="false" formatColumns="false" formatRows="false" insertRows="false" deleteRows="false" sort="false" autoFilter="false"/>
  <mergeCells count="16">
    <mergeCell ref="C7:D7"/>
    <mergeCell ref="C8:D8"/>
    <mergeCell ref="C9:D9"/>
    <mergeCell ref="C10:D10"/>
    <mergeCell ref="C11:D11"/>
    <mergeCell ref="C12:D12"/>
    <mergeCell ref="C13:D13"/>
    <mergeCell ref="B25:C25"/>
    <mergeCell ref="B26:C26"/>
    <mergeCell ref="B27:C27"/>
    <mergeCell ref="B28:C28"/>
    <mergeCell ref="B29:C29"/>
    <mergeCell ref="B30:C30"/>
    <mergeCell ref="B31:C31"/>
    <mergeCell ref="B34:C34"/>
    <mergeCell ref="B35:C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J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7.64453125" defaultRowHeight="15" customHeight="false" zeroHeight="false" outlineLevelRow="0" outlineLevelCol="1"/>
  <cols>
    <col collapsed="false" customWidth="true" hidden="false" outlineLevel="0" max="1" min="1" style="0" width="5.29"/>
    <col collapsed="false" customWidth="true" hidden="false" outlineLevel="0" max="2" min="2" style="0" width="9.69"/>
    <col collapsed="false" customWidth="true" hidden="false" outlineLevel="0" max="3" min="3" style="0" width="12.33"/>
    <col collapsed="false" customWidth="true" hidden="false" outlineLevel="0" max="4" min="4" style="0" width="33.48"/>
    <col collapsed="false" customWidth="true" hidden="false" outlineLevel="0" max="5" min="5" style="0" width="44.05"/>
    <col collapsed="false" customWidth="true" hidden="false" outlineLevel="0" max="6" min="6" style="0" width="9.69"/>
    <col collapsed="false" customWidth="true" hidden="false" outlineLevel="0" max="7" min="7" style="0" width="7.93"/>
    <col collapsed="false" customWidth="true" hidden="false" outlineLevel="0" max="8" min="8" style="0" width="10.57"/>
    <col collapsed="false" customWidth="true" hidden="false" outlineLevel="0" max="9" min="9" style="0" width="12.33"/>
    <col collapsed="false" customWidth="true" hidden="false" outlineLevel="1" max="12" min="10" style="0" width="12.33"/>
    <col collapsed="false" customWidth="true" hidden="false" outlineLevel="0" max="13" min="13" style="0" width="1.76"/>
    <col collapsed="false" customWidth="true" hidden="false" outlineLevel="1" max="29" min="14" style="0" width="21.14"/>
    <col collapsed="false" customWidth="true" hidden="true" outlineLevel="0" max="60" min="60" style="0" width="7.05"/>
    <col collapsed="false" customWidth="true" hidden="true" outlineLevel="0" max="62" min="61" style="0" width="10.57"/>
  </cols>
  <sheetData>
    <row r="1" customFormat="false" ht="17.15" hidden="false" customHeight="false" outlineLevel="0" collapsed="false">
      <c r="A1" s="1" t="str">
        <f aca="false">"御見積書｜"&amp;設定!$B$4&amp;""</f>
        <v>御見積書｜○○アプリ / システム開発（案件名に書き換え）</v>
      </c>
    </row>
    <row r="2" customFormat="false" ht="15" hidden="false" customHeight="false" outlineLevel="0" collapsed="false">
      <c r="A2" s="5" t="str">
        <f aca="false">設定!$B$5&amp;" 御中"</f>
        <v>株式会社○○ 御中</v>
      </c>
    </row>
    <row r="3" customFormat="false" ht="15" hidden="false" customHeight="false" outlineLevel="0" collapsed="false">
      <c r="A3" s="2" t="str">
        <f aca="false">"作成日: "&amp;TEXT(設定!$B$6,"yyyy/mm/dd")&amp;"　有効期限: "&amp;TEXT(設定!$B$7,"yyyy/mm/dd")&amp;"　見積精度: "&amp;設定!$B$8&amp;"　Ver."&amp;設定!$B$9</f>
        <v>作成日: 2026/07/05　有効期限: 2026/08/04　見積精度: 概算 −20%〜+30%　Ver.1.0</v>
      </c>
    </row>
    <row r="4" customFormat="false" ht="15" hidden="false" customHeight="false" outlineLevel="0" collapsed="false">
      <c r="A4" s="41" t="s">
        <v>175</v>
      </c>
    </row>
    <row r="6" customFormat="false" ht="15" hidden="false" customHeight="false" outlineLevel="0" collapsed="false">
      <c r="A6" s="5" t="s">
        <v>176</v>
      </c>
      <c r="J6" s="20" t="s">
        <v>177</v>
      </c>
    </row>
    <row r="7" customFormat="false" ht="15" hidden="false" customHeight="false" outlineLevel="0" collapsed="false">
      <c r="A7" s="25" t="s">
        <v>178</v>
      </c>
      <c r="B7" s="25" t="s">
        <v>179</v>
      </c>
      <c r="C7" s="25" t="s">
        <v>180</v>
      </c>
      <c r="D7" s="25" t="s">
        <v>181</v>
      </c>
      <c r="E7" s="25" t="s">
        <v>182</v>
      </c>
      <c r="F7" s="25" t="s">
        <v>183</v>
      </c>
      <c r="G7" s="25" t="s">
        <v>154</v>
      </c>
      <c r="H7" s="25" t="s">
        <v>114</v>
      </c>
      <c r="I7" s="25" t="s">
        <v>155</v>
      </c>
      <c r="J7" s="25" t="s">
        <v>156</v>
      </c>
      <c r="K7" s="25" t="s">
        <v>184</v>
      </c>
      <c r="L7" s="25" t="s">
        <v>185</v>
      </c>
      <c r="N7" s="5" t="s">
        <v>186</v>
      </c>
      <c r="BH7" s="42" t="s">
        <v>187</v>
      </c>
      <c r="BI7" s="43" t="s">
        <v>188</v>
      </c>
      <c r="BJ7" s="43" t="s">
        <v>189</v>
      </c>
    </row>
    <row r="8" customFormat="false" ht="20.85" hidden="false" customHeight="false" outlineLevel="0" collapsed="false">
      <c r="A8" s="44" t="s">
        <v>190</v>
      </c>
      <c r="B8" s="45" t="s">
        <v>159</v>
      </c>
      <c r="C8" s="46" t="s">
        <v>191</v>
      </c>
      <c r="D8" s="45" t="s">
        <v>192</v>
      </c>
      <c r="E8" s="47" t="s">
        <v>193</v>
      </c>
      <c r="F8" s="44" t="s">
        <v>73</v>
      </c>
      <c r="G8" s="48" t="n">
        <f aca="false">管理費率</f>
        <v>0.2</v>
      </c>
      <c r="H8" s="49" t="s">
        <v>73</v>
      </c>
      <c r="I8" s="50" t="n">
        <f aca="false">IF($A8="－",0,ROUND(SUMIFS($BJ:$BJ,$B:$B,$B8)*$G8,0))</f>
        <v>375000</v>
      </c>
      <c r="J8" s="50" t="n">
        <f aca="false">IF($A8="－",0,ROUND(SUMIFS($BI:$BI,$B:$B,$B8)*$G8,0))</f>
        <v>300000</v>
      </c>
      <c r="K8" s="47"/>
      <c r="L8" s="44"/>
      <c r="N8" s="25" t="s">
        <v>153</v>
      </c>
      <c r="O8" s="25" t="s">
        <v>194</v>
      </c>
      <c r="P8" s="25"/>
      <c r="Q8" s="25" t="s">
        <v>195</v>
      </c>
      <c r="R8" s="25"/>
      <c r="BH8" s="43" t="s">
        <v>196</v>
      </c>
    </row>
    <row r="9" customFormat="false" ht="19.4" hidden="false" customHeight="false" outlineLevel="0" collapsed="false">
      <c r="A9" s="51" t="s">
        <v>190</v>
      </c>
      <c r="B9" s="52" t="s">
        <v>159</v>
      </c>
      <c r="C9" s="52" t="s">
        <v>159</v>
      </c>
      <c r="D9" s="52" t="s">
        <v>197</v>
      </c>
      <c r="E9" s="53" t="s">
        <v>198</v>
      </c>
      <c r="F9" s="51" t="s">
        <v>73</v>
      </c>
      <c r="G9" s="54" t="n">
        <v>3</v>
      </c>
      <c r="H9" s="55" t="s">
        <v>92</v>
      </c>
      <c r="I9" s="26" t="n">
        <f aca="false">IF(OR($A9="－",$H9=""),0,IFERROR(ROUND($G9*VLOOKUP($H9,単価表,4,FALSE()),0),0))</f>
        <v>225000</v>
      </c>
      <c r="J9" s="26" t="n">
        <f aca="false">IF(OR($A9="－",$H9=""),0,IFERROR(ROUND($G9*VLOOKUP($H9,単価表,3,FALSE()),0),0))</f>
        <v>180000</v>
      </c>
      <c r="K9" s="53" t="s">
        <v>199</v>
      </c>
      <c r="L9" s="55" t="s">
        <v>200</v>
      </c>
      <c r="N9" s="56" t="s">
        <v>201</v>
      </c>
      <c r="O9" s="38" t="n">
        <f aca="false">SUMIFS($G:$G,$L:$L,"M",$BH:$BH,"leaf",$A:$A,"&lt;&gt;－")</f>
        <v>162</v>
      </c>
      <c r="Q9" s="57" t="n">
        <f aca="false">SUMIFS($I:$I,$L:$L,"M",$BH:$BH,"leaf",$A:$A,"&lt;&gt;－")</f>
        <v>11075000</v>
      </c>
      <c r="BH9" s="43" t="s">
        <v>202</v>
      </c>
      <c r="BI9" s="58" t="n">
        <f aca="false">$J9</f>
        <v>180000</v>
      </c>
      <c r="BJ9" s="58" t="n">
        <f aca="false">$I9</f>
        <v>225000</v>
      </c>
    </row>
    <row r="10" customFormat="false" ht="15" hidden="false" customHeight="false" outlineLevel="0" collapsed="false">
      <c r="A10" s="51" t="s">
        <v>190</v>
      </c>
      <c r="B10" s="52" t="s">
        <v>159</v>
      </c>
      <c r="C10" s="52" t="s">
        <v>159</v>
      </c>
      <c r="D10" s="52" t="s">
        <v>203</v>
      </c>
      <c r="E10" s="53" t="s">
        <v>204</v>
      </c>
      <c r="F10" s="51" t="s">
        <v>73</v>
      </c>
      <c r="G10" s="54" t="n">
        <v>4</v>
      </c>
      <c r="H10" s="55" t="s">
        <v>92</v>
      </c>
      <c r="I10" s="26" t="n">
        <f aca="false">IF(OR($A10="－",$H10=""),0,IFERROR(ROUND($G10*VLOOKUP($H10,単価表,4,FALSE()),0),0))</f>
        <v>300000</v>
      </c>
      <c r="J10" s="26" t="n">
        <f aca="false">IF(OR($A10="－",$H10=""),0,IFERROR(ROUND($G10*VLOOKUP($H10,単価表,3,FALSE()),0),0))</f>
        <v>240000</v>
      </c>
      <c r="K10" s="53" t="s">
        <v>205</v>
      </c>
      <c r="L10" s="55" t="s">
        <v>200</v>
      </c>
      <c r="N10" s="59" t="s">
        <v>206</v>
      </c>
      <c r="O10" s="38" t="n">
        <f aca="false">SUMIFS($G:$G,$L:$L,"W",$BH:$BH,"leaf",$A:$A,"&lt;&gt;－")</f>
        <v>28</v>
      </c>
      <c r="Q10" s="60" t="n">
        <f aca="false">SUMIFS($I:$I,$L:$L,"W",$BH:$BH,"leaf",$A:$A,"&lt;&gt;－")</f>
        <v>1725000</v>
      </c>
      <c r="BH10" s="43" t="s">
        <v>202</v>
      </c>
      <c r="BI10" s="58" t="n">
        <f aca="false">$J10</f>
        <v>240000</v>
      </c>
      <c r="BJ10" s="58" t="n">
        <f aca="false">$I10</f>
        <v>300000</v>
      </c>
    </row>
    <row r="11" customFormat="false" ht="15" hidden="false" customHeight="false" outlineLevel="0" collapsed="false">
      <c r="A11" s="51" t="s">
        <v>190</v>
      </c>
      <c r="B11" s="52" t="s">
        <v>159</v>
      </c>
      <c r="C11" s="52" t="s">
        <v>159</v>
      </c>
      <c r="D11" s="52" t="s">
        <v>207</v>
      </c>
      <c r="E11" s="53" t="s">
        <v>208</v>
      </c>
      <c r="F11" s="51" t="s">
        <v>73</v>
      </c>
      <c r="G11" s="54" t="n">
        <v>5</v>
      </c>
      <c r="H11" s="55" t="s">
        <v>96</v>
      </c>
      <c r="I11" s="26" t="n">
        <f aca="false">IF(OR($A11="－",$H11=""),0,IFERROR(ROUND($G11*VLOOKUP($H11,単価表,4,FALSE()),0),0))</f>
        <v>375000</v>
      </c>
      <c r="J11" s="26" t="n">
        <f aca="false">IF(OR($A11="－",$H11=""),0,IFERROR(ROUND($G11*VLOOKUP($H11,単価表,3,FALSE()),0),0))</f>
        <v>300000</v>
      </c>
      <c r="K11" s="53" t="s">
        <v>209</v>
      </c>
      <c r="L11" s="55" t="s">
        <v>200</v>
      </c>
      <c r="N11" s="61" t="s">
        <v>210</v>
      </c>
      <c r="O11" s="61"/>
      <c r="P11" s="61"/>
      <c r="Q11" s="62" t="str">
        <f aca="false">IF(COUNTIFS($L:$L,"O",$A:$A,"&lt;&gt;－",$I:$I,"&gt;0")+COUNTIFS($L:$L,"★未確定",$A:$A,"&lt;&gt;－",$I:$I,"&gt;0")=0,"✅ 金額混入なし","⚠ 金額が入っている行あり")</f>
        <v>✅ 金額混入なし</v>
      </c>
      <c r="BH11" s="43" t="s">
        <v>202</v>
      </c>
      <c r="BI11" s="58" t="n">
        <f aca="false">$J11</f>
        <v>300000</v>
      </c>
      <c r="BJ11" s="58" t="n">
        <f aca="false">$I11</f>
        <v>375000</v>
      </c>
    </row>
    <row r="12" customFormat="false" ht="15" hidden="false" customHeight="false" outlineLevel="0" collapsed="false">
      <c r="A12" s="51" t="s">
        <v>190</v>
      </c>
      <c r="B12" s="52" t="s">
        <v>159</v>
      </c>
      <c r="C12" s="52" t="s">
        <v>159</v>
      </c>
      <c r="D12" s="52" t="s">
        <v>211</v>
      </c>
      <c r="E12" s="63" t="s">
        <v>212</v>
      </c>
      <c r="F12" s="51" t="s">
        <v>73</v>
      </c>
      <c r="G12" s="54" t="n">
        <v>5</v>
      </c>
      <c r="H12" s="55" t="s">
        <v>96</v>
      </c>
      <c r="I12" s="26" t="n">
        <f aca="false">IF(OR($A12="－",$H12=""),0,IFERROR(ROUND($G12*VLOOKUP($H12,単価表,4,FALSE()),0),0))</f>
        <v>375000</v>
      </c>
      <c r="J12" s="26" t="n">
        <f aca="false">IF(OR($A12="－",$H12=""),0,IFERROR(ROUND($G12*VLOOKUP($H12,単価表,3,FALSE()),0),0))</f>
        <v>300000</v>
      </c>
      <c r="K12" s="53" t="s">
        <v>213</v>
      </c>
      <c r="L12" s="55" t="s">
        <v>200</v>
      </c>
      <c r="BH12" s="43" t="s">
        <v>202</v>
      </c>
      <c r="BI12" s="58" t="n">
        <f aca="false">$J12</f>
        <v>300000</v>
      </c>
      <c r="BJ12" s="58" t="n">
        <f aca="false">$I12</f>
        <v>375000</v>
      </c>
    </row>
    <row r="13" customFormat="false" ht="15" hidden="false" customHeight="false" outlineLevel="0" collapsed="false">
      <c r="A13" s="51" t="s">
        <v>190</v>
      </c>
      <c r="B13" s="52" t="s">
        <v>159</v>
      </c>
      <c r="C13" s="52" t="s">
        <v>159</v>
      </c>
      <c r="D13" s="52" t="s">
        <v>214</v>
      </c>
      <c r="E13" s="53" t="s">
        <v>215</v>
      </c>
      <c r="F13" s="51" t="s">
        <v>73</v>
      </c>
      <c r="G13" s="54" t="n">
        <v>8</v>
      </c>
      <c r="H13" s="55" t="s">
        <v>96</v>
      </c>
      <c r="I13" s="26" t="n">
        <f aca="false">IF(OR($A13="－",$H13=""),0,IFERROR(ROUND($G13*VLOOKUP($H13,単価表,4,FALSE()),0),0))</f>
        <v>600000</v>
      </c>
      <c r="J13" s="26" t="n">
        <f aca="false">IF(OR($A13="－",$H13=""),0,IFERROR(ROUND($G13*VLOOKUP($H13,単価表,3,FALSE()),0),0))</f>
        <v>480000</v>
      </c>
      <c r="K13" s="53" t="s">
        <v>213</v>
      </c>
      <c r="L13" s="55" t="s">
        <v>200</v>
      </c>
      <c r="N13" s="5" t="s">
        <v>216</v>
      </c>
      <c r="BH13" s="43" t="s">
        <v>202</v>
      </c>
      <c r="BI13" s="58" t="n">
        <f aca="false">$J13</f>
        <v>480000</v>
      </c>
      <c r="BJ13" s="58" t="n">
        <f aca="false">$I13</f>
        <v>600000</v>
      </c>
    </row>
    <row r="14" customFormat="false" ht="15" hidden="false" customHeight="false" outlineLevel="0" collapsed="false">
      <c r="A14" s="44" t="s">
        <v>190</v>
      </c>
      <c r="B14" s="45" t="s">
        <v>160</v>
      </c>
      <c r="C14" s="46" t="s">
        <v>191</v>
      </c>
      <c r="D14" s="45" t="s">
        <v>217</v>
      </c>
      <c r="E14" s="47" t="s">
        <v>218</v>
      </c>
      <c r="F14" s="44" t="s">
        <v>73</v>
      </c>
      <c r="G14" s="48" t="n">
        <f aca="false">管理費率</f>
        <v>0.2</v>
      </c>
      <c r="H14" s="49" t="s">
        <v>73</v>
      </c>
      <c r="I14" s="50" t="n">
        <f aca="false">IF($A14="－",0,ROUND(SUMIFS($BJ:$BJ,$B:$B,$B14)*$G14,0))</f>
        <v>465000</v>
      </c>
      <c r="J14" s="50" t="n">
        <f aca="false">IF($A14="－",0,ROUND(SUMIFS($BI:$BI,$B:$B,$B14)*$G14,0))</f>
        <v>310000</v>
      </c>
      <c r="K14" s="47"/>
      <c r="L14" s="44"/>
      <c r="N14" s="61" t="s">
        <v>191</v>
      </c>
      <c r="O14" s="61"/>
      <c r="P14" s="61"/>
      <c r="Q14" s="62" t="str">
        <f aca="false">IF(SUMIFS($I:$I,$BH:$BH,"pm",$A:$A,"&lt;&gt;－")&gt;0,"✅ 計上あり","⚠ 未計上")</f>
        <v>✅ 計上あり</v>
      </c>
      <c r="BH14" s="43" t="s">
        <v>196</v>
      </c>
    </row>
    <row r="15" customFormat="false" ht="15" hidden="false" customHeight="false" outlineLevel="0" collapsed="false">
      <c r="A15" s="51" t="s">
        <v>190</v>
      </c>
      <c r="B15" s="52" t="s">
        <v>160</v>
      </c>
      <c r="C15" s="64" t="s">
        <v>219</v>
      </c>
      <c r="D15" s="52" t="s">
        <v>220</v>
      </c>
      <c r="E15" s="53" t="s">
        <v>221</v>
      </c>
      <c r="F15" s="51" t="s">
        <v>73</v>
      </c>
      <c r="G15" s="54" t="n">
        <v>8</v>
      </c>
      <c r="H15" s="51" t="s">
        <v>98</v>
      </c>
      <c r="I15" s="26" t="n">
        <f aca="false">IF(OR($A15="－",$H15=""),0,IFERROR(ROUND($G15*VLOOKUP($H15,単価表,4,FALSE()),0),0))</f>
        <v>600000</v>
      </c>
      <c r="J15" s="26" t="n">
        <f aca="false">IF(OR($A15="－",$H15=""),0,IFERROR(ROUND($G15*VLOOKUP($H15,単価表,3,FALSE()),0),0))</f>
        <v>400000</v>
      </c>
      <c r="K15" s="53" t="s">
        <v>222</v>
      </c>
      <c r="L15" s="55" t="s">
        <v>200</v>
      </c>
      <c r="N15" s="15" t="s">
        <v>223</v>
      </c>
      <c r="O15" s="15"/>
      <c r="P15" s="15"/>
      <c r="Q15" s="62" t="str">
        <f aca="false">IF(SUMIFS($I:$I,$B:$B,"*テスト*",$BH:$BH,"leaf",$A:$A,"&lt;&gt;－")+SUMIFS($I:$I,$C:$C,"*テスト*",$BH:$BH,"leaf",$A:$A,"&lt;&gt;－")&gt;0,"✅ 計上あり","⚠ 未計上")</f>
        <v>✅ 計上あり</v>
      </c>
      <c r="BH15" s="43" t="s">
        <v>202</v>
      </c>
      <c r="BI15" s="58" t="n">
        <f aca="false">$J15</f>
        <v>400000</v>
      </c>
      <c r="BJ15" s="58" t="n">
        <f aca="false">$I15</f>
        <v>600000</v>
      </c>
    </row>
    <row r="16" customFormat="false" ht="20.85" hidden="false" customHeight="false" outlineLevel="0" collapsed="false">
      <c r="A16" s="51" t="s">
        <v>190</v>
      </c>
      <c r="B16" s="52" t="s">
        <v>160</v>
      </c>
      <c r="C16" s="64" t="s">
        <v>219</v>
      </c>
      <c r="D16" s="64" t="s">
        <v>224</v>
      </c>
      <c r="E16" s="53" t="s">
        <v>225</v>
      </c>
      <c r="F16" s="51" t="s">
        <v>73</v>
      </c>
      <c r="G16" s="54" t="n">
        <v>15</v>
      </c>
      <c r="H16" s="51" t="s">
        <v>98</v>
      </c>
      <c r="I16" s="26" t="n">
        <f aca="false">IF(OR($A16="－",$H16=""),0,IFERROR(ROUND($G16*VLOOKUP($H16,単価表,4,FALSE()),0),0))</f>
        <v>1125000</v>
      </c>
      <c r="J16" s="26" t="n">
        <f aca="false">IF(OR($A16="－",$H16=""),0,IFERROR(ROUND($G16*VLOOKUP($H16,単価表,3,FALSE()),0),0))</f>
        <v>750000</v>
      </c>
      <c r="K16" s="53" t="s">
        <v>226</v>
      </c>
      <c r="L16" s="55" t="s">
        <v>200</v>
      </c>
      <c r="N16" s="15" t="s">
        <v>227</v>
      </c>
      <c r="O16" s="15"/>
      <c r="P16" s="15"/>
      <c r="Q16" s="62" t="str">
        <f aca="false">IF(SUMIFS($I:$I,$B:$B,"*リリース*",$BH:$BH,"leaf",$A:$A,"&lt;&gt;－")+SUMIFS($I:$I,$D:$D,"*ストア*",$BH:$BH,"leaf",$A:$A,"&lt;&gt;－")+SUMIFS($I:$I,$D:$D,"*リリース*",$BH:$BH,"leaf",$A:$A,"&lt;&gt;－")&gt;0,"✅ 計上あり","⚠ 未計上")</f>
        <v>✅ 計上あり</v>
      </c>
      <c r="BH16" s="43" t="s">
        <v>202</v>
      </c>
      <c r="BI16" s="58" t="n">
        <f aca="false">$J16</f>
        <v>750000</v>
      </c>
      <c r="BJ16" s="58" t="n">
        <f aca="false">$I16</f>
        <v>1125000</v>
      </c>
    </row>
    <row r="17" customFormat="false" ht="15" hidden="false" customHeight="false" outlineLevel="0" collapsed="false">
      <c r="A17" s="51" t="s">
        <v>190</v>
      </c>
      <c r="B17" s="52" t="s">
        <v>160</v>
      </c>
      <c r="C17" s="64" t="s">
        <v>219</v>
      </c>
      <c r="D17" s="52" t="s">
        <v>228</v>
      </c>
      <c r="E17" s="53" t="s">
        <v>229</v>
      </c>
      <c r="F17" s="51" t="s">
        <v>73</v>
      </c>
      <c r="G17" s="54" t="n">
        <v>4</v>
      </c>
      <c r="H17" s="51" t="s">
        <v>98</v>
      </c>
      <c r="I17" s="26" t="n">
        <f aca="false">IF(OR($A17="－",$H17=""),0,IFERROR(ROUND($G17*VLOOKUP($H17,単価表,4,FALSE()),0),0))</f>
        <v>300000</v>
      </c>
      <c r="J17" s="26" t="n">
        <f aca="false">IF(OR($A17="－",$H17=""),0,IFERROR(ROUND($G17*VLOOKUP($H17,単価表,3,FALSE()),0),0))</f>
        <v>200000</v>
      </c>
      <c r="K17" s="53" t="s">
        <v>230</v>
      </c>
      <c r="L17" s="55" t="s">
        <v>200</v>
      </c>
      <c r="N17" s="15" t="s">
        <v>231</v>
      </c>
      <c r="O17" s="15"/>
      <c r="P17" s="15"/>
      <c r="Q17" s="62" t="str">
        <f aca="false">IF(COUNTBLANK(非機能要件チェック!$E$4:$E$32)&gt;0,"⚠ 未判定 "&amp;COUNTBLANK(非機能要件チェック!$E$4:$E$32)&amp;" 件",IF(COUNTIFS(非機能要件チェック!$E$4:$E$32,"対象",非機能要件チェック!$F$4:$F$32,"")+COUNTIF(非機能要件チェック!$E$4:$E$32,"要確認")&gt;0,"⚠ 未反映/要確認あり（シート参照）","✅ チェック済"))</f>
        <v>⚠ 未判定 29 件</v>
      </c>
      <c r="BH17" s="43" t="s">
        <v>202</v>
      </c>
      <c r="BI17" s="58" t="n">
        <f aca="false">$J17</f>
        <v>200000</v>
      </c>
      <c r="BJ17" s="58" t="n">
        <f aca="false">$I17</f>
        <v>300000</v>
      </c>
    </row>
    <row r="18" customFormat="false" ht="15" hidden="false" customHeight="false" outlineLevel="0" collapsed="false">
      <c r="A18" s="51" t="s">
        <v>190</v>
      </c>
      <c r="B18" s="52" t="s">
        <v>160</v>
      </c>
      <c r="C18" s="64" t="s">
        <v>219</v>
      </c>
      <c r="D18" s="52" t="s">
        <v>232</v>
      </c>
      <c r="E18" s="53" t="s">
        <v>233</v>
      </c>
      <c r="F18" s="51" t="s">
        <v>73</v>
      </c>
      <c r="G18" s="54" t="n">
        <v>4</v>
      </c>
      <c r="H18" s="51" t="s">
        <v>98</v>
      </c>
      <c r="I18" s="26" t="n">
        <f aca="false">IF(OR($A18="－",$H18=""),0,IFERROR(ROUND($G18*VLOOKUP($H18,単価表,4,FALSE()),0),0))</f>
        <v>300000</v>
      </c>
      <c r="J18" s="26" t="n">
        <f aca="false">IF(OR($A18="－",$H18=""),0,IFERROR(ROUND($G18*VLOOKUP($H18,単価表,3,FALSE()),0),0))</f>
        <v>200000</v>
      </c>
      <c r="K18" s="53" t="s">
        <v>230</v>
      </c>
      <c r="L18" s="55" t="s">
        <v>234</v>
      </c>
      <c r="BH18" s="43" t="s">
        <v>202</v>
      </c>
      <c r="BI18" s="58" t="n">
        <f aca="false">$J18</f>
        <v>200000</v>
      </c>
      <c r="BJ18" s="58" t="n">
        <f aca="false">$I18</f>
        <v>300000</v>
      </c>
    </row>
    <row r="19" customFormat="false" ht="15" hidden="false" customHeight="false" outlineLevel="0" collapsed="false">
      <c r="A19" s="44" t="s">
        <v>190</v>
      </c>
      <c r="B19" s="45" t="s">
        <v>161</v>
      </c>
      <c r="C19" s="46" t="s">
        <v>191</v>
      </c>
      <c r="D19" s="45" t="s">
        <v>235</v>
      </c>
      <c r="E19" s="47" t="s">
        <v>236</v>
      </c>
      <c r="F19" s="44" t="s">
        <v>73</v>
      </c>
      <c r="G19" s="48" t="n">
        <f aca="false">管理費率</f>
        <v>0.2</v>
      </c>
      <c r="H19" s="49" t="s">
        <v>73</v>
      </c>
      <c r="I19" s="50" t="n">
        <f aca="false">IF($A19="－",0,ROUND(SUMIFS($BJ:$BJ,$B:$B,$B19)*$G19,0))</f>
        <v>465000</v>
      </c>
      <c r="J19" s="50" t="n">
        <f aca="false">IF($A19="－",0,ROUND(SUMIFS($BI:$BI,$B:$B,$B19)*$G19,0))</f>
        <v>346000</v>
      </c>
      <c r="K19" s="47"/>
      <c r="L19" s="44"/>
      <c r="N19" s="5" t="s">
        <v>237</v>
      </c>
      <c r="BH19" s="43" t="s">
        <v>196</v>
      </c>
    </row>
    <row r="20" customFormat="false" ht="27.75" hidden="false" customHeight="true" outlineLevel="0" collapsed="false">
      <c r="A20" s="51" t="s">
        <v>190</v>
      </c>
      <c r="B20" s="52" t="s">
        <v>161</v>
      </c>
      <c r="C20" s="52" t="s">
        <v>238</v>
      </c>
      <c r="D20" s="52" t="s">
        <v>239</v>
      </c>
      <c r="E20" s="53" t="s">
        <v>240</v>
      </c>
      <c r="F20" s="51" t="s">
        <v>73</v>
      </c>
      <c r="G20" s="54" t="n">
        <v>5</v>
      </c>
      <c r="H20" s="55" t="s">
        <v>96</v>
      </c>
      <c r="I20" s="26" t="n">
        <f aca="false">IF(OR($A20="－",$H20=""),0,IFERROR(ROUND($G20*VLOOKUP($H20,単価表,4,FALSE()),0),0))</f>
        <v>375000</v>
      </c>
      <c r="J20" s="26" t="n">
        <f aca="false">IF(OR($A20="－",$H20=""),0,IFERROR(ROUND($G20*VLOOKUP($H20,単価表,3,FALSE()),0),0))</f>
        <v>300000</v>
      </c>
      <c r="K20" s="53" t="s">
        <v>230</v>
      </c>
      <c r="L20" s="55" t="s">
        <v>200</v>
      </c>
      <c r="N20" s="65" t="s">
        <v>241</v>
      </c>
      <c r="O20" s="65" t="s">
        <v>159</v>
      </c>
      <c r="P20" s="66" t="s">
        <v>242</v>
      </c>
      <c r="Q20" s="65" t="s">
        <v>238</v>
      </c>
      <c r="R20" s="65" t="s">
        <v>243</v>
      </c>
      <c r="S20" s="65" t="s">
        <v>244</v>
      </c>
      <c r="T20" s="65" t="s">
        <v>245</v>
      </c>
      <c r="U20" s="66" t="s">
        <v>246</v>
      </c>
      <c r="V20" s="65" t="s">
        <v>247</v>
      </c>
      <c r="W20" s="65" t="s">
        <v>248</v>
      </c>
      <c r="X20" s="65" t="s">
        <v>249</v>
      </c>
      <c r="Y20" s="65" t="s">
        <v>109</v>
      </c>
      <c r="Z20" s="65" t="s">
        <v>250</v>
      </c>
      <c r="AA20" s="65" t="s">
        <v>251</v>
      </c>
      <c r="AB20" s="65" t="s">
        <v>252</v>
      </c>
      <c r="BH20" s="43" t="s">
        <v>202</v>
      </c>
      <c r="BI20" s="58" t="n">
        <f aca="false">$J20</f>
        <v>300000</v>
      </c>
      <c r="BJ20" s="58" t="n">
        <f aca="false">$I20</f>
        <v>375000</v>
      </c>
    </row>
    <row r="21" customFormat="false" ht="15" hidden="false" customHeight="false" outlineLevel="0" collapsed="false">
      <c r="A21" s="51" t="s">
        <v>190</v>
      </c>
      <c r="B21" s="52" t="s">
        <v>161</v>
      </c>
      <c r="C21" s="52" t="s">
        <v>243</v>
      </c>
      <c r="D21" s="52" t="s">
        <v>253</v>
      </c>
      <c r="E21" s="53" t="s">
        <v>254</v>
      </c>
      <c r="F21" s="51" t="s">
        <v>73</v>
      </c>
      <c r="G21" s="54" t="n">
        <v>10</v>
      </c>
      <c r="H21" s="55" t="s">
        <v>96</v>
      </c>
      <c r="I21" s="26" t="n">
        <f aca="false">IF(OR($A21="－",$H21=""),0,IFERROR(ROUND($G21*VLOOKUP($H21,単価表,4,FALSE()),0),0))</f>
        <v>750000</v>
      </c>
      <c r="J21" s="26" t="n">
        <f aca="false">IF(OR($A21="－",$H21=""),0,IFERROR(ROUND($G21*VLOOKUP($H21,単価表,3,FALSE()),0),0))</f>
        <v>600000</v>
      </c>
      <c r="K21" s="53" t="s">
        <v>222</v>
      </c>
      <c r="L21" s="55" t="s">
        <v>200</v>
      </c>
      <c r="N21" s="15" t="s">
        <v>159</v>
      </c>
      <c r="O21" s="67" t="n">
        <f aca="false">SUMIFS($G:$G,$B:$B,"要件定義",$C:$C,"要件定義",$BH:$BH,"leaf",$A:$A,"&lt;&gt;－")</f>
        <v>25</v>
      </c>
      <c r="P21" s="67" t="n">
        <f aca="false">SUMIFS($G:$G,$B:$B,"要件定義",$C:$C,"UI/UXデザイン",$BH:$BH,"leaf",$A:$A,"&lt;&gt;－")</f>
        <v>0</v>
      </c>
      <c r="Q21" s="67" t="n">
        <f aca="false">SUMIFS($G:$G,$B:$B,"要件定義",$C:$C,"内部設計",$BH:$BH,"leaf",$A:$A,"&lt;&gt;－")</f>
        <v>0</v>
      </c>
      <c r="R21" s="67" t="n">
        <f aca="false">SUMIFS($G:$G,$B:$B,"要件定義",$C:$C,"外部設計",$BH:$BH,"leaf",$A:$A,"&lt;&gt;－")</f>
        <v>0</v>
      </c>
      <c r="S21" s="67" t="n">
        <f aca="false">SUMIFS($G:$G,$B:$B,"要件定義",$C:$C,"インフラ・環境",$BH:$BH,"leaf",$A:$A,"&lt;&gt;－")</f>
        <v>0</v>
      </c>
      <c r="T21" s="67" t="n">
        <f aca="false">SUMIFS($G:$G,$B:$B,"要件定義",$C:$C,"アプリ(iOS/Android)",$BH:$BH,"leaf",$A:$A,"&lt;&gt;－")</f>
        <v>0</v>
      </c>
      <c r="U21" s="67" t="n">
        <f aca="false">SUMIFS($G:$G,$B:$B,"要件定義",$C:$C,"API・サーバ",$BH:$BH,"leaf",$A:$A,"&lt;&gt;－")</f>
        <v>0</v>
      </c>
      <c r="V21" s="67" t="n">
        <f aca="false">SUMIFS($G:$G,$B:$B,"要件定義",$C:$C,"管理画面(CMS)",$BH:$BH,"leaf",$A:$A,"&lt;&gt;－")</f>
        <v>0</v>
      </c>
      <c r="W21" s="67" t="n">
        <f aca="false">SUMIFS($G:$G,$B:$B,"要件定義",$C:$C,"バッチ",$BH:$BH,"leaf",$A:$A,"&lt;&gt;－")</f>
        <v>0</v>
      </c>
      <c r="X21" s="67" t="n">
        <f aca="false">SUMIFS($G:$G,$B:$B,"要件定義",$C:$C,"外部連携",$BH:$BH,"leaf",$A:$A,"&lt;&gt;－")</f>
        <v>0</v>
      </c>
      <c r="Y21" s="67" t="n">
        <f aca="false">SUMIFS($G:$G,$B:$B,"要件定義",$C:$C,"テスト・検証",$BH:$BH,"leaf",$A:$A,"&lt;&gt;－")</f>
        <v>0</v>
      </c>
      <c r="Z21" s="67" t="n">
        <f aca="false">SUMIFS($G:$G,$B:$B,"要件定義",$C:$C,"セキュリティ",$BH:$BH,"leaf",$A:$A,"&lt;&gt;－")</f>
        <v>0</v>
      </c>
      <c r="AA21" s="67" t="n">
        <f aca="false">SUMIFS($G:$G,$B:$B,"要件定義",$C:$C,"共通",$BH:$BH,"leaf",$A:$A,"&lt;&gt;－")</f>
        <v>0</v>
      </c>
      <c r="AB21" s="67" t="n">
        <f aca="false">SUMIFS($G:$G,$B:$B,"要件定義",$C:$C,"運用・保守",$BH:$BH,"leaf",$A:$A,"&lt;&gt;－")</f>
        <v>0</v>
      </c>
      <c r="BH21" s="43" t="s">
        <v>202</v>
      </c>
      <c r="BI21" s="58" t="n">
        <f aca="false">$J21</f>
        <v>600000</v>
      </c>
      <c r="BJ21" s="58" t="n">
        <f aca="false">$I21</f>
        <v>750000</v>
      </c>
    </row>
    <row r="22" customFormat="false" ht="15" hidden="false" customHeight="false" outlineLevel="0" collapsed="false">
      <c r="A22" s="51" t="s">
        <v>190</v>
      </c>
      <c r="B22" s="52" t="s">
        <v>161</v>
      </c>
      <c r="C22" s="52" t="s">
        <v>243</v>
      </c>
      <c r="D22" s="64" t="s">
        <v>255</v>
      </c>
      <c r="E22" s="53" t="s">
        <v>256</v>
      </c>
      <c r="F22" s="51" t="s">
        <v>73</v>
      </c>
      <c r="G22" s="54" t="n">
        <v>8</v>
      </c>
      <c r="H22" s="51" t="s">
        <v>104</v>
      </c>
      <c r="I22" s="26" t="n">
        <f aca="false">IF(OR($A22="－",$H22=""),0,IFERROR(ROUND($G22*VLOOKUP($H22,単価表,4,FALSE()),0),0))</f>
        <v>600000</v>
      </c>
      <c r="J22" s="26" t="n">
        <f aca="false">IF(OR($A22="－",$H22=""),0,IFERROR(ROUND($G22*VLOOKUP($H22,単価表,3,FALSE()),0),0))</f>
        <v>400000</v>
      </c>
      <c r="K22" s="63" t="s">
        <v>257</v>
      </c>
      <c r="L22" s="55" t="s">
        <v>200</v>
      </c>
      <c r="N22" s="15" t="s">
        <v>160</v>
      </c>
      <c r="O22" s="67" t="n">
        <f aca="false">SUMIFS($G:$G,$B:$B,"デザイン",$C:$C,"要件定義",$BH:$BH,"leaf",$A:$A,"&lt;&gt;－")</f>
        <v>0</v>
      </c>
      <c r="P22" s="67" t="n">
        <f aca="false">SUMIFS($G:$G,$B:$B,"デザイン",$C:$C,"UI/UXデザイン",$BH:$BH,"leaf",$A:$A,"&lt;&gt;－")</f>
        <v>31</v>
      </c>
      <c r="Q22" s="67" t="n">
        <f aca="false">SUMIFS($G:$G,$B:$B,"デザイン",$C:$C,"内部設計",$BH:$BH,"leaf",$A:$A,"&lt;&gt;－")</f>
        <v>0</v>
      </c>
      <c r="R22" s="67" t="n">
        <f aca="false">SUMIFS($G:$G,$B:$B,"デザイン",$C:$C,"外部設計",$BH:$BH,"leaf",$A:$A,"&lt;&gt;－")</f>
        <v>0</v>
      </c>
      <c r="S22" s="67" t="n">
        <f aca="false">SUMIFS($G:$G,$B:$B,"デザイン",$C:$C,"インフラ・環境",$BH:$BH,"leaf",$A:$A,"&lt;&gt;－")</f>
        <v>0</v>
      </c>
      <c r="T22" s="67" t="n">
        <f aca="false">SUMIFS($G:$G,$B:$B,"デザイン",$C:$C,"アプリ(iOS/Android)",$BH:$BH,"leaf",$A:$A,"&lt;&gt;－")</f>
        <v>0</v>
      </c>
      <c r="U22" s="67" t="n">
        <f aca="false">SUMIFS($G:$G,$B:$B,"デザイン",$C:$C,"API・サーバ",$BH:$BH,"leaf",$A:$A,"&lt;&gt;－")</f>
        <v>0</v>
      </c>
      <c r="V22" s="67" t="n">
        <f aca="false">SUMIFS($G:$G,$B:$B,"デザイン",$C:$C,"管理画面(CMS)",$BH:$BH,"leaf",$A:$A,"&lt;&gt;－")</f>
        <v>0</v>
      </c>
      <c r="W22" s="67" t="n">
        <f aca="false">SUMIFS($G:$G,$B:$B,"デザイン",$C:$C,"バッチ",$BH:$BH,"leaf",$A:$A,"&lt;&gt;－")</f>
        <v>0</v>
      </c>
      <c r="X22" s="67" t="n">
        <f aca="false">SUMIFS($G:$G,$B:$B,"デザイン",$C:$C,"外部連携",$BH:$BH,"leaf",$A:$A,"&lt;&gt;－")</f>
        <v>0</v>
      </c>
      <c r="Y22" s="67" t="n">
        <f aca="false">SUMIFS($G:$G,$B:$B,"デザイン",$C:$C,"テスト・検証",$BH:$BH,"leaf",$A:$A,"&lt;&gt;－")</f>
        <v>0</v>
      </c>
      <c r="Z22" s="67" t="n">
        <f aca="false">SUMIFS($G:$G,$B:$B,"デザイン",$C:$C,"セキュリティ",$BH:$BH,"leaf",$A:$A,"&lt;&gt;－")</f>
        <v>0</v>
      </c>
      <c r="AA22" s="67" t="n">
        <f aca="false">SUMIFS($G:$G,$B:$B,"デザイン",$C:$C,"共通",$BH:$BH,"leaf",$A:$A,"&lt;&gt;－")</f>
        <v>0</v>
      </c>
      <c r="AB22" s="67" t="n">
        <f aca="false">SUMIFS($G:$G,$B:$B,"デザイン",$C:$C,"運用・保守",$BH:$BH,"leaf",$A:$A,"&lt;&gt;－")</f>
        <v>0</v>
      </c>
      <c r="BH22" s="43" t="s">
        <v>202</v>
      </c>
      <c r="BI22" s="58" t="n">
        <f aca="false">$J22</f>
        <v>400000</v>
      </c>
      <c r="BJ22" s="58" t="n">
        <f aca="false">$I22</f>
        <v>600000</v>
      </c>
    </row>
    <row r="23" customFormat="false" ht="15" hidden="false" customHeight="false" outlineLevel="0" collapsed="false">
      <c r="A23" s="51" t="s">
        <v>190</v>
      </c>
      <c r="B23" s="52" t="s">
        <v>161</v>
      </c>
      <c r="C23" s="52" t="s">
        <v>238</v>
      </c>
      <c r="D23" s="64" t="s">
        <v>258</v>
      </c>
      <c r="E23" s="53" t="s">
        <v>259</v>
      </c>
      <c r="F23" s="51" t="s">
        <v>73</v>
      </c>
      <c r="G23" s="54" t="n">
        <v>5</v>
      </c>
      <c r="H23" s="51" t="s">
        <v>104</v>
      </c>
      <c r="I23" s="26" t="n">
        <f aca="false">IF(OR($A23="－",$H23=""),0,IFERROR(ROUND($G23*VLOOKUP($H23,単価表,4,FALSE()),0),0))</f>
        <v>375000</v>
      </c>
      <c r="J23" s="26" t="n">
        <f aca="false">IF(OR($A23="－",$H23=""),0,IFERROR(ROUND($G23*VLOOKUP($H23,単価表,3,FALSE()),0),0))</f>
        <v>250000</v>
      </c>
      <c r="K23" s="53" t="s">
        <v>260</v>
      </c>
      <c r="L23" s="55" t="s">
        <v>200</v>
      </c>
      <c r="N23" s="15" t="s">
        <v>161</v>
      </c>
      <c r="O23" s="67" t="n">
        <f aca="false">SUMIFS($G:$G,$B:$B,"設計",$C:$C,"要件定義",$BH:$BH,"leaf",$A:$A,"&lt;&gt;－")</f>
        <v>0</v>
      </c>
      <c r="P23" s="67" t="n">
        <f aca="false">SUMIFS($G:$G,$B:$B,"設計",$C:$C,"UI/UXデザイン",$BH:$BH,"leaf",$A:$A,"&lt;&gt;－")</f>
        <v>0</v>
      </c>
      <c r="Q23" s="67" t="n">
        <f aca="false">SUMIFS($G:$G,$B:$B,"設計",$C:$C,"内部設計",$BH:$BH,"leaf",$A:$A,"&lt;&gt;－")</f>
        <v>10</v>
      </c>
      <c r="R23" s="67" t="n">
        <f aca="false">SUMIFS($G:$G,$B:$B,"設計",$C:$C,"外部設計",$BH:$BH,"leaf",$A:$A,"&lt;&gt;－")</f>
        <v>21</v>
      </c>
      <c r="S23" s="67" t="n">
        <f aca="false">SUMIFS($G:$G,$B:$B,"設計",$C:$C,"インフラ・環境",$BH:$BH,"leaf",$A:$A,"&lt;&gt;－")</f>
        <v>0</v>
      </c>
      <c r="T23" s="67" t="n">
        <f aca="false">SUMIFS($G:$G,$B:$B,"設計",$C:$C,"アプリ(iOS/Android)",$BH:$BH,"leaf",$A:$A,"&lt;&gt;－")</f>
        <v>0</v>
      </c>
      <c r="U23" s="67" t="n">
        <f aca="false">SUMIFS($G:$G,$B:$B,"設計",$C:$C,"API・サーバ",$BH:$BH,"leaf",$A:$A,"&lt;&gt;－")</f>
        <v>0</v>
      </c>
      <c r="V23" s="67" t="n">
        <f aca="false">SUMIFS($G:$G,$B:$B,"設計",$C:$C,"管理画面(CMS)",$BH:$BH,"leaf",$A:$A,"&lt;&gt;－")</f>
        <v>0</v>
      </c>
      <c r="W23" s="67" t="n">
        <f aca="false">SUMIFS($G:$G,$B:$B,"設計",$C:$C,"バッチ",$BH:$BH,"leaf",$A:$A,"&lt;&gt;－")</f>
        <v>0</v>
      </c>
      <c r="X23" s="67" t="n">
        <f aca="false">SUMIFS($G:$G,$B:$B,"設計",$C:$C,"外部連携",$BH:$BH,"leaf",$A:$A,"&lt;&gt;－")</f>
        <v>0</v>
      </c>
      <c r="Y23" s="67" t="n">
        <f aca="false">SUMIFS($G:$G,$B:$B,"設計",$C:$C,"テスト・検証",$BH:$BH,"leaf",$A:$A,"&lt;&gt;－")</f>
        <v>0</v>
      </c>
      <c r="Z23" s="67" t="n">
        <f aca="false">SUMIFS($G:$G,$B:$B,"設計",$C:$C,"セキュリティ",$BH:$BH,"leaf",$A:$A,"&lt;&gt;－")</f>
        <v>0</v>
      </c>
      <c r="AA23" s="67" t="n">
        <f aca="false">SUMIFS($G:$G,$B:$B,"設計",$C:$C,"共通",$BH:$BH,"leaf",$A:$A,"&lt;&gt;－")</f>
        <v>0</v>
      </c>
      <c r="AB23" s="67" t="n">
        <f aca="false">SUMIFS($G:$G,$B:$B,"設計",$C:$C,"運用・保守",$BH:$BH,"leaf",$A:$A,"&lt;&gt;－")</f>
        <v>0</v>
      </c>
      <c r="BH23" s="43" t="s">
        <v>202</v>
      </c>
      <c r="BI23" s="58" t="n">
        <f aca="false">$J23</f>
        <v>250000</v>
      </c>
      <c r="BJ23" s="58" t="n">
        <f aca="false">$I23</f>
        <v>375000</v>
      </c>
    </row>
    <row r="24" customFormat="false" ht="15" hidden="false" customHeight="false" outlineLevel="0" collapsed="false">
      <c r="A24" s="51" t="s">
        <v>190</v>
      </c>
      <c r="B24" s="52" t="s">
        <v>161</v>
      </c>
      <c r="C24" s="52" t="s">
        <v>243</v>
      </c>
      <c r="D24" s="52" t="s">
        <v>261</v>
      </c>
      <c r="E24" s="53" t="s">
        <v>262</v>
      </c>
      <c r="F24" s="51" t="s">
        <v>73</v>
      </c>
      <c r="G24" s="54" t="n">
        <v>3</v>
      </c>
      <c r="H24" s="55" t="s">
        <v>96</v>
      </c>
      <c r="I24" s="26" t="n">
        <f aca="false">IF(OR($A24="－",$H24=""),0,IFERROR(ROUND($G24*VLOOKUP($H24,単価表,4,FALSE()),0),0))</f>
        <v>225000</v>
      </c>
      <c r="J24" s="26" t="n">
        <f aca="false">IF(OR($A24="－",$H24=""),0,IFERROR(ROUND($G24*VLOOKUP($H24,単価表,3,FALSE()),0),0))</f>
        <v>180000</v>
      </c>
      <c r="K24" s="53" t="s">
        <v>230</v>
      </c>
      <c r="L24" s="55" t="s">
        <v>200</v>
      </c>
      <c r="N24" s="15" t="s">
        <v>162</v>
      </c>
      <c r="O24" s="67" t="n">
        <f aca="false">SUMIFS($G:$G,$B:$B,"開発",$C:$C,"要件定義",$BH:$BH,"leaf",$A:$A,"&lt;&gt;－")</f>
        <v>0</v>
      </c>
      <c r="P24" s="67" t="n">
        <f aca="false">SUMIFS($G:$G,$B:$B,"開発",$C:$C,"UI/UXデザイン",$BH:$BH,"leaf",$A:$A,"&lt;&gt;－")</f>
        <v>0</v>
      </c>
      <c r="Q24" s="67" t="n">
        <f aca="false">SUMIFS($G:$G,$B:$B,"開発",$C:$C,"内部設計",$BH:$BH,"leaf",$A:$A,"&lt;&gt;－")</f>
        <v>0</v>
      </c>
      <c r="R24" s="67" t="n">
        <f aca="false">SUMIFS($G:$G,$B:$B,"開発",$C:$C,"外部設計",$BH:$BH,"leaf",$A:$A,"&lt;&gt;－")</f>
        <v>0</v>
      </c>
      <c r="S24" s="67" t="n">
        <f aca="false">SUMIFS($G:$G,$B:$B,"開発",$C:$C,"インフラ・環境",$BH:$BH,"leaf",$A:$A,"&lt;&gt;－")</f>
        <v>5</v>
      </c>
      <c r="T24" s="67" t="n">
        <f aca="false">SUMIFS($G:$G,$B:$B,"開発",$C:$C,"アプリ(iOS/Android)",$BH:$BH,"leaf",$A:$A,"&lt;&gt;－")</f>
        <v>36</v>
      </c>
      <c r="U24" s="67" t="n">
        <f aca="false">SUMIFS($G:$G,$B:$B,"開発",$C:$C,"API・サーバ",$BH:$BH,"leaf",$A:$A,"&lt;&gt;－")</f>
        <v>15</v>
      </c>
      <c r="V24" s="67" t="n">
        <f aca="false">SUMIFS($G:$G,$B:$B,"開発",$C:$C,"管理画面(CMS)",$BH:$BH,"leaf",$A:$A,"&lt;&gt;－")</f>
        <v>10</v>
      </c>
      <c r="W24" s="67" t="n">
        <f aca="false">SUMIFS($G:$G,$B:$B,"開発",$C:$C,"バッチ",$BH:$BH,"leaf",$A:$A,"&lt;&gt;－")</f>
        <v>3</v>
      </c>
      <c r="X24" s="67" t="n">
        <f aca="false">SUMIFS($G:$G,$B:$B,"開発",$C:$C,"外部連携",$BH:$BH,"leaf",$A:$A,"&lt;&gt;－")</f>
        <v>0</v>
      </c>
      <c r="Y24" s="67" t="n">
        <f aca="false">SUMIFS($G:$G,$B:$B,"開発",$C:$C,"テスト・検証",$BH:$BH,"leaf",$A:$A,"&lt;&gt;－")</f>
        <v>0</v>
      </c>
      <c r="Z24" s="67" t="n">
        <f aca="false">SUMIFS($G:$G,$B:$B,"開発",$C:$C,"セキュリティ",$BH:$BH,"leaf",$A:$A,"&lt;&gt;－")</f>
        <v>0</v>
      </c>
      <c r="AA24" s="67" t="n">
        <f aca="false">SUMIFS($G:$G,$B:$B,"開発",$C:$C,"共通",$BH:$BH,"leaf",$A:$A,"&lt;&gt;－")</f>
        <v>0</v>
      </c>
      <c r="AB24" s="67" t="n">
        <f aca="false">SUMIFS($G:$G,$B:$B,"開発",$C:$C,"運用・保守",$BH:$BH,"leaf",$A:$A,"&lt;&gt;－")</f>
        <v>0</v>
      </c>
      <c r="BH24" s="43" t="s">
        <v>202</v>
      </c>
      <c r="BI24" s="58" t="n">
        <f aca="false">$J24</f>
        <v>180000</v>
      </c>
      <c r="BJ24" s="58" t="n">
        <f aca="false">$I24</f>
        <v>225000</v>
      </c>
    </row>
    <row r="25" customFormat="false" ht="15" hidden="false" customHeight="false" outlineLevel="0" collapsed="false">
      <c r="A25" s="44" t="s">
        <v>190</v>
      </c>
      <c r="B25" s="45" t="s">
        <v>162</v>
      </c>
      <c r="C25" s="46" t="s">
        <v>191</v>
      </c>
      <c r="D25" s="45" t="s">
        <v>263</v>
      </c>
      <c r="E25" s="47" t="s">
        <v>264</v>
      </c>
      <c r="F25" s="44" t="s">
        <v>73</v>
      </c>
      <c r="G25" s="48" t="n">
        <f aca="false">管理費率</f>
        <v>0.2</v>
      </c>
      <c r="H25" s="49" t="s">
        <v>73</v>
      </c>
      <c r="I25" s="50" t="n">
        <f aca="false">IF($A25="－",0,ROUND(SUMIFS($BJ:$BJ,$B:$B,$B25)*$G25,0))</f>
        <v>805000</v>
      </c>
      <c r="J25" s="50" t="n">
        <f aca="false">IF($A25="－",0,ROUND(SUMIFS($BI:$BI,$B:$B,$B25)*$G25,0))</f>
        <v>562000</v>
      </c>
      <c r="K25" s="47"/>
      <c r="L25" s="44"/>
      <c r="N25" s="15" t="s">
        <v>163</v>
      </c>
      <c r="O25" s="67" t="n">
        <f aca="false">SUMIFS($G:$G,$B:$B,"テスト",$C:$C,"要件定義",$BH:$BH,"leaf",$A:$A,"&lt;&gt;－")</f>
        <v>0</v>
      </c>
      <c r="P25" s="67" t="n">
        <f aca="false">SUMIFS($G:$G,$B:$B,"テスト",$C:$C,"UI/UXデザイン",$BH:$BH,"leaf",$A:$A,"&lt;&gt;－")</f>
        <v>0</v>
      </c>
      <c r="Q25" s="67" t="n">
        <f aca="false">SUMIFS($G:$G,$B:$B,"テスト",$C:$C,"内部設計",$BH:$BH,"leaf",$A:$A,"&lt;&gt;－")</f>
        <v>0</v>
      </c>
      <c r="R25" s="67" t="n">
        <f aca="false">SUMIFS($G:$G,$B:$B,"テスト",$C:$C,"外部設計",$BH:$BH,"leaf",$A:$A,"&lt;&gt;－")</f>
        <v>0</v>
      </c>
      <c r="S25" s="67" t="n">
        <f aca="false">SUMIFS($G:$G,$B:$B,"テスト",$C:$C,"インフラ・環境",$BH:$BH,"leaf",$A:$A,"&lt;&gt;－")</f>
        <v>0</v>
      </c>
      <c r="T25" s="67" t="n">
        <f aca="false">SUMIFS($G:$G,$B:$B,"テスト",$C:$C,"アプリ(iOS/Android)",$BH:$BH,"leaf",$A:$A,"&lt;&gt;－")</f>
        <v>0</v>
      </c>
      <c r="U25" s="67" t="n">
        <f aca="false">SUMIFS($G:$G,$B:$B,"テスト",$C:$C,"API・サーバ",$BH:$BH,"leaf",$A:$A,"&lt;&gt;－")</f>
        <v>0</v>
      </c>
      <c r="V25" s="67" t="n">
        <f aca="false">SUMIFS($G:$G,$B:$B,"テスト",$C:$C,"管理画面(CMS)",$BH:$BH,"leaf",$A:$A,"&lt;&gt;－")</f>
        <v>0</v>
      </c>
      <c r="W25" s="67" t="n">
        <f aca="false">SUMIFS($G:$G,$B:$B,"テスト",$C:$C,"バッチ",$BH:$BH,"leaf",$A:$A,"&lt;&gt;－")</f>
        <v>0</v>
      </c>
      <c r="X25" s="67" t="n">
        <f aca="false">SUMIFS($G:$G,$B:$B,"テスト",$C:$C,"外部連携",$BH:$BH,"leaf",$A:$A,"&lt;&gt;－")</f>
        <v>0</v>
      </c>
      <c r="Y25" s="67" t="n">
        <f aca="false">SUMIFS($G:$G,$B:$B,"テスト",$C:$C,"テスト・検証",$BH:$BH,"leaf",$A:$A,"&lt;&gt;－")</f>
        <v>25</v>
      </c>
      <c r="Z25" s="67" t="n">
        <f aca="false">SUMIFS($G:$G,$B:$B,"テスト",$C:$C,"セキュリティ",$BH:$BH,"leaf",$A:$A,"&lt;&gt;－")</f>
        <v>3</v>
      </c>
      <c r="AA25" s="67" t="n">
        <f aca="false">SUMIFS($G:$G,$B:$B,"テスト",$C:$C,"共通",$BH:$BH,"leaf",$A:$A,"&lt;&gt;－")</f>
        <v>0</v>
      </c>
      <c r="AB25" s="67" t="n">
        <f aca="false">SUMIFS($G:$G,$B:$B,"テスト",$C:$C,"運用・保守",$BH:$BH,"leaf",$A:$A,"&lt;&gt;－")</f>
        <v>0</v>
      </c>
      <c r="BH25" s="43" t="s">
        <v>196</v>
      </c>
    </row>
    <row r="26" customFormat="false" ht="15" hidden="false" customHeight="false" outlineLevel="0" collapsed="false">
      <c r="A26" s="51" t="s">
        <v>190</v>
      </c>
      <c r="B26" s="52" t="s">
        <v>162</v>
      </c>
      <c r="C26" s="52" t="s">
        <v>244</v>
      </c>
      <c r="D26" s="52" t="s">
        <v>265</v>
      </c>
      <c r="E26" s="53" t="s">
        <v>266</v>
      </c>
      <c r="F26" s="51" t="s">
        <v>251</v>
      </c>
      <c r="G26" s="54" t="n">
        <v>5</v>
      </c>
      <c r="H26" s="55" t="s">
        <v>96</v>
      </c>
      <c r="I26" s="26" t="n">
        <f aca="false">IF(OR($A26="－",$H26=""),0,IFERROR(ROUND($G26*VLOOKUP($H26,単価表,4,FALSE()),0),0))</f>
        <v>375000</v>
      </c>
      <c r="J26" s="26" t="n">
        <f aca="false">IF(OR($A26="－",$H26=""),0,IFERROR(ROUND($G26*VLOOKUP($H26,単価表,3,FALSE()),0),0))</f>
        <v>300000</v>
      </c>
      <c r="K26" s="53" t="s">
        <v>267</v>
      </c>
      <c r="L26" s="55" t="s">
        <v>200</v>
      </c>
      <c r="N26" s="15" t="s">
        <v>164</v>
      </c>
      <c r="O26" s="67" t="n">
        <f aca="false">SUMIFS($G:$G,$B:$B,"リリース",$C:$C,"要件定義",$BH:$BH,"leaf",$A:$A,"&lt;&gt;－")</f>
        <v>0</v>
      </c>
      <c r="P26" s="67" t="n">
        <f aca="false">SUMIFS($G:$G,$B:$B,"リリース",$C:$C,"UI/UXデザイン",$BH:$BH,"leaf",$A:$A,"&lt;&gt;－")</f>
        <v>0</v>
      </c>
      <c r="Q26" s="67" t="n">
        <f aca="false">SUMIFS($G:$G,$B:$B,"リリース",$C:$C,"内部設計",$BH:$BH,"leaf",$A:$A,"&lt;&gt;－")</f>
        <v>0</v>
      </c>
      <c r="R26" s="67" t="n">
        <f aca="false">SUMIFS($G:$G,$B:$B,"リリース",$C:$C,"外部設計",$BH:$BH,"leaf",$A:$A,"&lt;&gt;－")</f>
        <v>0</v>
      </c>
      <c r="S26" s="67" t="n">
        <f aca="false">SUMIFS($G:$G,$B:$B,"リリース",$C:$C,"インフラ・環境",$BH:$BH,"leaf",$A:$A,"&lt;&gt;－")</f>
        <v>0</v>
      </c>
      <c r="T26" s="67" t="n">
        <f aca="false">SUMIFS($G:$G,$B:$B,"リリース",$C:$C,"アプリ(iOS/Android)",$BH:$BH,"leaf",$A:$A,"&lt;&gt;－")</f>
        <v>0</v>
      </c>
      <c r="U26" s="67" t="n">
        <f aca="false">SUMIFS($G:$G,$B:$B,"リリース",$C:$C,"API・サーバ",$BH:$BH,"leaf",$A:$A,"&lt;&gt;－")</f>
        <v>0</v>
      </c>
      <c r="V26" s="67" t="n">
        <f aca="false">SUMIFS($G:$G,$B:$B,"リリース",$C:$C,"管理画面(CMS)",$BH:$BH,"leaf",$A:$A,"&lt;&gt;－")</f>
        <v>0</v>
      </c>
      <c r="W26" s="67" t="n">
        <f aca="false">SUMIFS($G:$G,$B:$B,"リリース",$C:$C,"バッチ",$BH:$BH,"leaf",$A:$A,"&lt;&gt;－")</f>
        <v>0</v>
      </c>
      <c r="X26" s="67" t="n">
        <f aca="false">SUMIFS($G:$G,$B:$B,"リリース",$C:$C,"外部連携",$BH:$BH,"leaf",$A:$A,"&lt;&gt;－")</f>
        <v>0</v>
      </c>
      <c r="Y26" s="67" t="n">
        <f aca="false">SUMIFS($G:$G,$B:$B,"リリース",$C:$C,"テスト・検証",$BH:$BH,"leaf",$A:$A,"&lt;&gt;－")</f>
        <v>0</v>
      </c>
      <c r="Z26" s="67" t="n">
        <f aca="false">SUMIFS($G:$G,$B:$B,"リリース",$C:$C,"セキュリティ",$BH:$BH,"leaf",$A:$A,"&lt;&gt;－")</f>
        <v>0</v>
      </c>
      <c r="AA26" s="67" t="n">
        <f aca="false">SUMIFS($G:$G,$B:$B,"リリース",$C:$C,"共通",$BH:$BH,"leaf",$A:$A,"&lt;&gt;－")</f>
        <v>3</v>
      </c>
      <c r="AB26" s="67" t="n">
        <f aca="false">SUMIFS($G:$G,$B:$B,"リリース",$C:$C,"運用・保守",$BH:$BH,"leaf",$A:$A,"&lt;&gt;－")</f>
        <v>3</v>
      </c>
      <c r="BH26" s="43" t="s">
        <v>202</v>
      </c>
      <c r="BI26" s="58" t="n">
        <f aca="false">$J26</f>
        <v>300000</v>
      </c>
      <c r="BJ26" s="58" t="n">
        <f aca="false">$I26</f>
        <v>375000</v>
      </c>
    </row>
    <row r="27" customFormat="false" ht="23.85" hidden="false" customHeight="false" outlineLevel="0" collapsed="false">
      <c r="A27" s="68"/>
      <c r="B27" s="69" t="s">
        <v>162</v>
      </c>
      <c r="C27" s="69" t="s">
        <v>268</v>
      </c>
      <c r="D27" s="69" t="s">
        <v>269</v>
      </c>
      <c r="E27" s="69" t="s">
        <v>270</v>
      </c>
      <c r="F27" s="70" t="s">
        <v>73</v>
      </c>
      <c r="G27" s="71" t="n">
        <f aca="false">SUMIFS(G28:G30,A28:A30,"&lt;&gt;－")</f>
        <v>8</v>
      </c>
      <c r="H27" s="68" t="s">
        <v>73</v>
      </c>
      <c r="I27" s="72" t="n">
        <f aca="false">SUM(I28:I30)</f>
        <v>400000</v>
      </c>
      <c r="J27" s="72" t="n">
        <f aca="false">SUM(J28:J30)</f>
        <v>280000</v>
      </c>
      <c r="K27" s="47"/>
      <c r="L27" s="70"/>
      <c r="BH27" s="43" t="s">
        <v>271</v>
      </c>
    </row>
    <row r="28" customFormat="false" ht="23.85" hidden="false" customHeight="false" outlineLevel="0" collapsed="false">
      <c r="A28" s="51" t="s">
        <v>190</v>
      </c>
      <c r="B28" s="52" t="s">
        <v>162</v>
      </c>
      <c r="C28" s="52" t="s">
        <v>272</v>
      </c>
      <c r="D28" s="52" t="s">
        <v>273</v>
      </c>
      <c r="E28" s="53" t="s">
        <v>274</v>
      </c>
      <c r="F28" s="51" t="s">
        <v>275</v>
      </c>
      <c r="G28" s="54" t="n">
        <v>2</v>
      </c>
      <c r="H28" s="51" t="s">
        <v>106</v>
      </c>
      <c r="I28" s="26" t="n">
        <f aca="false">IF(OR($A28="－",$H28=""),0,IFERROR(ROUND($G28*VLOOKUP($H28,単価表,4,FALSE()),0),0))</f>
        <v>100000</v>
      </c>
      <c r="J28" s="26" t="n">
        <f aca="false">IF(OR($A28="－",$H28=""),0,IFERROR(ROUND($G28*VLOOKUP($H28,単価表,3,FALSE()),0),0))</f>
        <v>70000</v>
      </c>
      <c r="K28" s="53" t="s">
        <v>276</v>
      </c>
      <c r="L28" s="55" t="s">
        <v>200</v>
      </c>
      <c r="BH28" s="43" t="s">
        <v>202</v>
      </c>
      <c r="BI28" s="58" t="n">
        <f aca="false">$J28</f>
        <v>70000</v>
      </c>
      <c r="BJ28" s="58" t="n">
        <f aca="false">$I28</f>
        <v>100000</v>
      </c>
    </row>
    <row r="29" customFormat="false" ht="32.8" hidden="false" customHeight="false" outlineLevel="0" collapsed="false">
      <c r="A29" s="51" t="s">
        <v>190</v>
      </c>
      <c r="B29" s="52" t="s">
        <v>162</v>
      </c>
      <c r="C29" s="52" t="s">
        <v>272</v>
      </c>
      <c r="D29" s="52" t="s">
        <v>277</v>
      </c>
      <c r="E29" s="53" t="s">
        <v>278</v>
      </c>
      <c r="F29" s="51" t="s">
        <v>275</v>
      </c>
      <c r="G29" s="54" t="n">
        <v>4</v>
      </c>
      <c r="H29" s="51" t="s">
        <v>106</v>
      </c>
      <c r="I29" s="26" t="n">
        <f aca="false">IF(OR($A29="－",$H29=""),0,IFERROR(ROUND($G29*VLOOKUP($H29,単価表,4,FALSE()),0),0))</f>
        <v>200000</v>
      </c>
      <c r="J29" s="26" t="n">
        <f aca="false">IF(OR($A29="－",$H29=""),0,IFERROR(ROUND($G29*VLOOKUP($H29,単価表,3,FALSE()),0),0))</f>
        <v>140000</v>
      </c>
      <c r="K29" s="63" t="s">
        <v>279</v>
      </c>
      <c r="L29" s="55" t="s">
        <v>200</v>
      </c>
      <c r="BH29" s="43" t="s">
        <v>202</v>
      </c>
      <c r="BI29" s="58" t="n">
        <f aca="false">$J29</f>
        <v>140000</v>
      </c>
      <c r="BJ29" s="58" t="n">
        <f aca="false">$I29</f>
        <v>200000</v>
      </c>
    </row>
    <row r="30" customFormat="false" ht="23.85" hidden="false" customHeight="false" outlineLevel="0" collapsed="false">
      <c r="A30" s="51" t="s">
        <v>190</v>
      </c>
      <c r="B30" s="52" t="s">
        <v>162</v>
      </c>
      <c r="C30" s="52" t="s">
        <v>272</v>
      </c>
      <c r="D30" s="52" t="s">
        <v>280</v>
      </c>
      <c r="E30" s="53" t="s">
        <v>281</v>
      </c>
      <c r="F30" s="51" t="s">
        <v>275</v>
      </c>
      <c r="G30" s="54" t="n">
        <v>2</v>
      </c>
      <c r="H30" s="51" t="s">
        <v>106</v>
      </c>
      <c r="I30" s="26" t="n">
        <f aca="false">IF(OR($A30="－",$H30=""),0,IFERROR(ROUND($G30*VLOOKUP($H30,単価表,4,FALSE()),0),0))</f>
        <v>100000</v>
      </c>
      <c r="J30" s="26" t="n">
        <f aca="false">IF(OR($A30="－",$H30=""),0,IFERROR(ROUND($G30*VLOOKUP($H30,単価表,3,FALSE()),0),0))</f>
        <v>70000</v>
      </c>
      <c r="K30" s="53" t="s">
        <v>282</v>
      </c>
      <c r="L30" s="55" t="s">
        <v>200</v>
      </c>
      <c r="BH30" s="43" t="s">
        <v>202</v>
      </c>
      <c r="BI30" s="58" t="n">
        <f aca="false">$J30</f>
        <v>70000</v>
      </c>
      <c r="BJ30" s="58" t="n">
        <f aca="false">$I30</f>
        <v>100000</v>
      </c>
    </row>
    <row r="31" customFormat="false" ht="23.85" hidden="false" customHeight="false" outlineLevel="0" collapsed="false">
      <c r="A31" s="51" t="s">
        <v>190</v>
      </c>
      <c r="B31" s="52" t="s">
        <v>162</v>
      </c>
      <c r="C31" s="52" t="s">
        <v>272</v>
      </c>
      <c r="D31" s="52" t="s">
        <v>283</v>
      </c>
      <c r="E31" s="53" t="s">
        <v>284</v>
      </c>
      <c r="F31" s="51" t="s">
        <v>275</v>
      </c>
      <c r="G31" s="54" t="n">
        <v>10</v>
      </c>
      <c r="H31" s="51" t="s">
        <v>106</v>
      </c>
      <c r="I31" s="26" t="n">
        <f aca="false">IF(OR($A31="－",$H31=""),0,IFERROR(ROUND($G31*VLOOKUP($H31,単価表,4,FALSE()),0),0))</f>
        <v>500000</v>
      </c>
      <c r="J31" s="26" t="n">
        <f aca="false">IF(OR($A31="－",$H31=""),0,IFERROR(ROUND($G31*VLOOKUP($H31,単価表,3,FALSE()),0),0))</f>
        <v>350000</v>
      </c>
      <c r="K31" s="53" t="s">
        <v>226</v>
      </c>
      <c r="L31" s="55" t="s">
        <v>200</v>
      </c>
      <c r="BH31" s="43" t="s">
        <v>202</v>
      </c>
      <c r="BI31" s="58" t="n">
        <f aca="false">$J31</f>
        <v>350000</v>
      </c>
      <c r="BJ31" s="58" t="n">
        <f aca="false">$I31</f>
        <v>500000</v>
      </c>
    </row>
    <row r="32" customFormat="false" ht="23.85" hidden="false" customHeight="false" outlineLevel="0" collapsed="false">
      <c r="A32" s="51" t="s">
        <v>190</v>
      </c>
      <c r="B32" s="52" t="s">
        <v>162</v>
      </c>
      <c r="C32" s="52" t="s">
        <v>272</v>
      </c>
      <c r="D32" s="52" t="s">
        <v>285</v>
      </c>
      <c r="E32" s="53" t="s">
        <v>284</v>
      </c>
      <c r="F32" s="51" t="s">
        <v>275</v>
      </c>
      <c r="G32" s="54" t="n">
        <v>8</v>
      </c>
      <c r="H32" s="51" t="s">
        <v>106</v>
      </c>
      <c r="I32" s="26" t="n">
        <f aca="false">IF(OR($A32="－",$H32=""),0,IFERROR(ROUND($G32*VLOOKUP($H32,単価表,4,FALSE()),0),0))</f>
        <v>400000</v>
      </c>
      <c r="J32" s="26" t="n">
        <f aca="false">IF(OR($A32="－",$H32=""),0,IFERROR(ROUND($G32*VLOOKUP($H32,単価表,3,FALSE()),0),0))</f>
        <v>280000</v>
      </c>
      <c r="K32" s="53" t="s">
        <v>226</v>
      </c>
      <c r="L32" s="55" t="s">
        <v>200</v>
      </c>
      <c r="BH32" s="43" t="s">
        <v>202</v>
      </c>
      <c r="BI32" s="58" t="n">
        <f aca="false">$J32</f>
        <v>280000</v>
      </c>
      <c r="BJ32" s="58" t="n">
        <f aca="false">$I32</f>
        <v>400000</v>
      </c>
    </row>
    <row r="33" customFormat="false" ht="23.85" hidden="false" customHeight="false" outlineLevel="0" collapsed="false">
      <c r="A33" s="51" t="s">
        <v>190</v>
      </c>
      <c r="B33" s="52" t="s">
        <v>162</v>
      </c>
      <c r="C33" s="52" t="s">
        <v>272</v>
      </c>
      <c r="D33" s="52" t="s">
        <v>286</v>
      </c>
      <c r="E33" s="53" t="s">
        <v>287</v>
      </c>
      <c r="F33" s="51" t="s">
        <v>275</v>
      </c>
      <c r="G33" s="54" t="n">
        <v>5</v>
      </c>
      <c r="H33" s="51" t="s">
        <v>106</v>
      </c>
      <c r="I33" s="26" t="n">
        <f aca="false">IF(OR($A33="－",$H33=""),0,IFERROR(ROUND($G33*VLOOKUP($H33,単価表,4,FALSE()),0),0))</f>
        <v>250000</v>
      </c>
      <c r="J33" s="26" t="n">
        <f aca="false">IF(OR($A33="－",$H33=""),0,IFERROR(ROUND($G33*VLOOKUP($H33,単価表,3,FALSE()),0),0))</f>
        <v>175000</v>
      </c>
      <c r="K33" s="53" t="s">
        <v>288</v>
      </c>
      <c r="L33" s="55" t="s">
        <v>200</v>
      </c>
      <c r="BH33" s="43" t="s">
        <v>202</v>
      </c>
      <c r="BI33" s="58" t="n">
        <f aca="false">$J33</f>
        <v>175000</v>
      </c>
      <c r="BJ33" s="58" t="n">
        <f aca="false">$I33</f>
        <v>250000</v>
      </c>
    </row>
    <row r="34" customFormat="false" ht="19.4" hidden="false" customHeight="false" outlineLevel="0" collapsed="false">
      <c r="A34" s="51" t="s">
        <v>190</v>
      </c>
      <c r="B34" s="52" t="s">
        <v>162</v>
      </c>
      <c r="C34" s="64" t="s">
        <v>289</v>
      </c>
      <c r="D34" s="64" t="s">
        <v>290</v>
      </c>
      <c r="E34" s="53" t="s">
        <v>291</v>
      </c>
      <c r="F34" s="51" t="s">
        <v>251</v>
      </c>
      <c r="G34" s="54" t="n">
        <v>15</v>
      </c>
      <c r="H34" s="51" t="s">
        <v>104</v>
      </c>
      <c r="I34" s="26" t="n">
        <f aca="false">IF(OR($A34="－",$H34=""),0,IFERROR(ROUND($G34*VLOOKUP($H34,単価表,4,FALSE()),0),0))</f>
        <v>1125000</v>
      </c>
      <c r="J34" s="26" t="n">
        <f aca="false">IF(OR($A34="－",$H34=""),0,IFERROR(ROUND($G34*VLOOKUP($H34,単価表,3,FALSE()),0),0))</f>
        <v>750000</v>
      </c>
      <c r="K34" s="53" t="s">
        <v>292</v>
      </c>
      <c r="L34" s="55" t="s">
        <v>200</v>
      </c>
      <c r="BH34" s="43" t="s">
        <v>202</v>
      </c>
      <c r="BI34" s="58" t="n">
        <f aca="false">$J34</f>
        <v>750000</v>
      </c>
      <c r="BJ34" s="58" t="n">
        <f aca="false">$I34</f>
        <v>1125000</v>
      </c>
    </row>
    <row r="35" customFormat="false" ht="15" hidden="false" customHeight="false" outlineLevel="0" collapsed="false">
      <c r="A35" s="51" t="s">
        <v>190</v>
      </c>
      <c r="B35" s="52" t="s">
        <v>162</v>
      </c>
      <c r="C35" s="52" t="s">
        <v>293</v>
      </c>
      <c r="D35" s="52" t="s">
        <v>294</v>
      </c>
      <c r="E35" s="53" t="s">
        <v>295</v>
      </c>
      <c r="F35" s="51" t="s">
        <v>251</v>
      </c>
      <c r="G35" s="54" t="n">
        <v>10</v>
      </c>
      <c r="H35" s="51" t="s">
        <v>106</v>
      </c>
      <c r="I35" s="26" t="n">
        <f aca="false">IF(OR($A35="－",$H35=""),0,IFERROR(ROUND($G35*VLOOKUP($H35,単価表,4,FALSE()),0),0))</f>
        <v>500000</v>
      </c>
      <c r="J35" s="26" t="n">
        <f aca="false">IF(OR($A35="－",$H35=""),0,IFERROR(ROUND($G35*VLOOKUP($H35,単価表,3,FALSE()),0),0))</f>
        <v>350000</v>
      </c>
      <c r="K35" s="53" t="s">
        <v>296</v>
      </c>
      <c r="L35" s="55" t="s">
        <v>234</v>
      </c>
      <c r="BH35" s="43" t="s">
        <v>202</v>
      </c>
      <c r="BI35" s="58" t="n">
        <f aca="false">$J35</f>
        <v>350000</v>
      </c>
      <c r="BJ35" s="58" t="n">
        <f aca="false">$I35</f>
        <v>500000</v>
      </c>
    </row>
    <row r="36" customFormat="false" ht="23.85" hidden="false" customHeight="false" outlineLevel="0" collapsed="false">
      <c r="A36" s="51" t="s">
        <v>190</v>
      </c>
      <c r="B36" s="52" t="s">
        <v>162</v>
      </c>
      <c r="C36" s="52" t="s">
        <v>272</v>
      </c>
      <c r="D36" s="52" t="s">
        <v>297</v>
      </c>
      <c r="E36" s="53" t="s">
        <v>298</v>
      </c>
      <c r="F36" s="51" t="s">
        <v>275</v>
      </c>
      <c r="G36" s="54" t="n">
        <v>5</v>
      </c>
      <c r="H36" s="51" t="s">
        <v>106</v>
      </c>
      <c r="I36" s="26" t="n">
        <f aca="false">IF(OR($A36="－",$H36=""),0,IFERROR(ROUND($G36*VLOOKUP($H36,単価表,4,FALSE()),0),0))</f>
        <v>250000</v>
      </c>
      <c r="J36" s="26" t="n">
        <f aca="false">IF(OR($A36="－",$H36=""),0,IFERROR(ROUND($G36*VLOOKUP($H36,単価表,3,FALSE()),0),0))</f>
        <v>175000</v>
      </c>
      <c r="K36" s="63" t="s">
        <v>299</v>
      </c>
      <c r="L36" s="55" t="s">
        <v>234</v>
      </c>
      <c r="BH36" s="43" t="s">
        <v>202</v>
      </c>
      <c r="BI36" s="58" t="n">
        <f aca="false">$J36</f>
        <v>175000</v>
      </c>
      <c r="BJ36" s="58" t="n">
        <f aca="false">$I36</f>
        <v>250000</v>
      </c>
    </row>
    <row r="37" customFormat="false" ht="15" hidden="false" customHeight="false" outlineLevel="0" collapsed="false">
      <c r="A37" s="51" t="s">
        <v>190</v>
      </c>
      <c r="B37" s="52" t="s">
        <v>162</v>
      </c>
      <c r="C37" s="52" t="s">
        <v>248</v>
      </c>
      <c r="D37" s="52" t="s">
        <v>300</v>
      </c>
      <c r="E37" s="53" t="s">
        <v>301</v>
      </c>
      <c r="F37" s="51" t="s">
        <v>251</v>
      </c>
      <c r="G37" s="54" t="n">
        <v>3</v>
      </c>
      <c r="H37" s="51" t="s">
        <v>104</v>
      </c>
      <c r="I37" s="26" t="n">
        <f aca="false">IF(OR($A37="－",$H37=""),0,IFERROR(ROUND($G37*VLOOKUP($H37,単価表,4,FALSE()),0),0))</f>
        <v>225000</v>
      </c>
      <c r="J37" s="26" t="n">
        <f aca="false">IF(OR($A37="－",$H37=""),0,IFERROR(ROUND($G37*VLOOKUP($H37,単価表,3,FALSE()),0),0))</f>
        <v>150000</v>
      </c>
      <c r="K37" s="53" t="s">
        <v>302</v>
      </c>
      <c r="L37" s="55" t="s">
        <v>234</v>
      </c>
      <c r="BH37" s="43" t="s">
        <v>202</v>
      </c>
      <c r="BI37" s="58" t="n">
        <f aca="false">$J37</f>
        <v>150000</v>
      </c>
      <c r="BJ37" s="58" t="n">
        <f aca="false">$I37</f>
        <v>225000</v>
      </c>
    </row>
    <row r="38" customFormat="false" ht="22.35" hidden="false" customHeight="false" outlineLevel="0" collapsed="false">
      <c r="A38" s="51" t="s">
        <v>73</v>
      </c>
      <c r="B38" s="52" t="s">
        <v>162</v>
      </c>
      <c r="C38" s="52" t="s">
        <v>249</v>
      </c>
      <c r="D38" s="52" t="s">
        <v>303</v>
      </c>
      <c r="E38" s="53" t="s">
        <v>304</v>
      </c>
      <c r="F38" s="51" t="s">
        <v>73</v>
      </c>
      <c r="G38" s="54" t="n">
        <v>0</v>
      </c>
      <c r="H38" s="51" t="s">
        <v>106</v>
      </c>
      <c r="I38" s="26" t="n">
        <f aca="false">IF(OR($A38="－",$H38=""),0,IFERROR(ROUND($G38*VLOOKUP($H38,単価表,4,FALSE()),0),0))</f>
        <v>0</v>
      </c>
      <c r="J38" s="26" t="n">
        <f aca="false">IF(OR($A38="－",$H38=""),0,IFERROR(ROUND($G38*VLOOKUP($H38,単価表,3,FALSE()),0),0))</f>
        <v>0</v>
      </c>
      <c r="K38" s="53" t="s">
        <v>305</v>
      </c>
      <c r="L38" s="51" t="s">
        <v>306</v>
      </c>
      <c r="BH38" s="43" t="s">
        <v>202</v>
      </c>
      <c r="BI38" s="58" t="n">
        <f aca="false">$J38</f>
        <v>0</v>
      </c>
      <c r="BJ38" s="58" t="n">
        <f aca="false">$I38</f>
        <v>0</v>
      </c>
    </row>
    <row r="39" customFormat="false" ht="15" hidden="false" customHeight="false" outlineLevel="0" collapsed="false">
      <c r="A39" s="44" t="s">
        <v>190</v>
      </c>
      <c r="B39" s="45" t="s">
        <v>163</v>
      </c>
      <c r="C39" s="46" t="s">
        <v>191</v>
      </c>
      <c r="D39" s="45" t="s">
        <v>307</v>
      </c>
      <c r="E39" s="47" t="s">
        <v>308</v>
      </c>
      <c r="F39" s="44" t="s">
        <v>73</v>
      </c>
      <c r="G39" s="48" t="n">
        <f aca="false">管理費率</f>
        <v>0.2</v>
      </c>
      <c r="H39" s="49" t="s">
        <v>73</v>
      </c>
      <c r="I39" s="50" t="n">
        <f aca="false">IF($A39="－",0,ROUND(SUMIFS($BJ:$BJ,$B:$B,$B39)*$G39,0))</f>
        <v>360000</v>
      </c>
      <c r="J39" s="50" t="n">
        <f aca="false">IF($A39="－",0,ROUND(SUMIFS($BI:$BI,$B:$B,$B39)*$G39,0))</f>
        <v>256000</v>
      </c>
      <c r="K39" s="47"/>
      <c r="L39" s="44"/>
      <c r="BH39" s="43" t="s">
        <v>196</v>
      </c>
    </row>
    <row r="40" customFormat="false" ht="15" hidden="false" customHeight="false" outlineLevel="0" collapsed="false">
      <c r="A40" s="51" t="s">
        <v>190</v>
      </c>
      <c r="B40" s="52" t="s">
        <v>163</v>
      </c>
      <c r="C40" s="52" t="s">
        <v>109</v>
      </c>
      <c r="D40" s="52" t="s">
        <v>309</v>
      </c>
      <c r="E40" s="53" t="s">
        <v>310</v>
      </c>
      <c r="F40" s="51" t="s">
        <v>73</v>
      </c>
      <c r="G40" s="54" t="n">
        <v>5</v>
      </c>
      <c r="H40" s="55" t="s">
        <v>108</v>
      </c>
      <c r="I40" s="26" t="n">
        <f aca="false">IF(OR($A40="－",$H40=""),0,IFERROR(ROUND($G40*VLOOKUP($H40,単価表,4,FALSE()),0),0))</f>
        <v>300000</v>
      </c>
      <c r="J40" s="26" t="n">
        <f aca="false">IF(OR($A40="－",$H40=""),0,IFERROR(ROUND($G40*VLOOKUP($H40,単価表,3,FALSE()),0),0))</f>
        <v>200000</v>
      </c>
      <c r="K40" s="53" t="s">
        <v>311</v>
      </c>
      <c r="L40" s="55" t="s">
        <v>200</v>
      </c>
      <c r="BH40" s="43" t="s">
        <v>202</v>
      </c>
      <c r="BI40" s="58" t="n">
        <f aca="false">$J40</f>
        <v>200000</v>
      </c>
      <c r="BJ40" s="58" t="n">
        <f aca="false">$I40</f>
        <v>300000</v>
      </c>
    </row>
    <row r="41" customFormat="false" ht="20.85" hidden="false" customHeight="false" outlineLevel="0" collapsed="false">
      <c r="A41" s="51" t="s">
        <v>190</v>
      </c>
      <c r="B41" s="52" t="s">
        <v>163</v>
      </c>
      <c r="C41" s="52" t="s">
        <v>109</v>
      </c>
      <c r="D41" s="52" t="s">
        <v>312</v>
      </c>
      <c r="E41" s="53" t="s">
        <v>313</v>
      </c>
      <c r="F41" s="51" t="s">
        <v>73</v>
      </c>
      <c r="G41" s="54" t="n">
        <v>12</v>
      </c>
      <c r="H41" s="55" t="s">
        <v>108</v>
      </c>
      <c r="I41" s="26" t="n">
        <f aca="false">IF(OR($A41="－",$H41=""),0,IFERROR(ROUND($G41*VLOOKUP($H41,単価表,4,FALSE()),0),0))</f>
        <v>720000</v>
      </c>
      <c r="J41" s="26" t="n">
        <f aca="false">IF(OR($A41="－",$H41=""),0,IFERROR(ROUND($G41*VLOOKUP($H41,単価表,3,FALSE()),0),0))</f>
        <v>480000</v>
      </c>
      <c r="K41" s="53" t="s">
        <v>314</v>
      </c>
      <c r="L41" s="55" t="s">
        <v>200</v>
      </c>
      <c r="BH41" s="43" t="s">
        <v>202</v>
      </c>
      <c r="BI41" s="58" t="n">
        <f aca="false">$J41</f>
        <v>480000</v>
      </c>
      <c r="BJ41" s="58" t="n">
        <f aca="false">$I41</f>
        <v>720000</v>
      </c>
    </row>
    <row r="42" customFormat="false" ht="19.4" hidden="false" customHeight="false" outlineLevel="0" collapsed="false">
      <c r="A42" s="51" t="s">
        <v>190</v>
      </c>
      <c r="B42" s="52" t="s">
        <v>163</v>
      </c>
      <c r="C42" s="52" t="s">
        <v>109</v>
      </c>
      <c r="D42" s="52" t="s">
        <v>315</v>
      </c>
      <c r="E42" s="53" t="s">
        <v>316</v>
      </c>
      <c r="F42" s="51" t="s">
        <v>73</v>
      </c>
      <c r="G42" s="54" t="n">
        <v>3</v>
      </c>
      <c r="H42" s="55" t="s">
        <v>108</v>
      </c>
      <c r="I42" s="26" t="n">
        <f aca="false">IF(OR($A42="－",$H42=""),0,IFERROR(ROUND($G42*VLOOKUP($H42,単価表,4,FALSE()),0),0))</f>
        <v>180000</v>
      </c>
      <c r="J42" s="26" t="n">
        <f aca="false">IF(OR($A42="－",$H42=""),0,IFERROR(ROUND($G42*VLOOKUP($H42,単価表,3,FALSE()),0),0))</f>
        <v>120000</v>
      </c>
      <c r="K42" s="53" t="s">
        <v>317</v>
      </c>
      <c r="L42" s="55" t="s">
        <v>200</v>
      </c>
      <c r="BH42" s="43" t="s">
        <v>202</v>
      </c>
      <c r="BI42" s="58" t="n">
        <f aca="false">$J42</f>
        <v>120000</v>
      </c>
      <c r="BJ42" s="58" t="n">
        <f aca="false">$I42</f>
        <v>180000</v>
      </c>
    </row>
    <row r="43" customFormat="false" ht="15" hidden="false" customHeight="false" outlineLevel="0" collapsed="false">
      <c r="A43" s="51" t="s">
        <v>190</v>
      </c>
      <c r="B43" s="52" t="s">
        <v>163</v>
      </c>
      <c r="C43" s="52" t="s">
        <v>109</v>
      </c>
      <c r="D43" s="52" t="s">
        <v>318</v>
      </c>
      <c r="E43" s="53" t="s">
        <v>319</v>
      </c>
      <c r="F43" s="51" t="s">
        <v>73</v>
      </c>
      <c r="G43" s="54" t="n">
        <v>5</v>
      </c>
      <c r="H43" s="55" t="s">
        <v>96</v>
      </c>
      <c r="I43" s="26" t="n">
        <f aca="false">IF(OR($A43="－",$H43=""),0,IFERROR(ROUND($G43*VLOOKUP($H43,単価表,4,FALSE()),0),0))</f>
        <v>375000</v>
      </c>
      <c r="J43" s="26" t="n">
        <f aca="false">IF(OR($A43="－",$H43=""),0,IFERROR(ROUND($G43*VLOOKUP($H43,単価表,3,FALSE()),0),0))</f>
        <v>300000</v>
      </c>
      <c r="K43" s="53" t="s">
        <v>320</v>
      </c>
      <c r="L43" s="55" t="s">
        <v>200</v>
      </c>
      <c r="BH43" s="43" t="s">
        <v>202</v>
      </c>
      <c r="BI43" s="58" t="n">
        <f aca="false">$J43</f>
        <v>300000</v>
      </c>
      <c r="BJ43" s="58" t="n">
        <f aca="false">$I43</f>
        <v>375000</v>
      </c>
    </row>
    <row r="44" customFormat="false" ht="19.4" hidden="false" customHeight="false" outlineLevel="0" collapsed="false">
      <c r="A44" s="51" t="s">
        <v>190</v>
      </c>
      <c r="B44" s="52" t="s">
        <v>163</v>
      </c>
      <c r="C44" s="52" t="s">
        <v>250</v>
      </c>
      <c r="D44" s="52" t="s">
        <v>321</v>
      </c>
      <c r="E44" s="53" t="s">
        <v>322</v>
      </c>
      <c r="F44" s="51" t="s">
        <v>73</v>
      </c>
      <c r="G44" s="54" t="n">
        <v>3</v>
      </c>
      <c r="H44" s="55" t="s">
        <v>96</v>
      </c>
      <c r="I44" s="26" t="n">
        <f aca="false">IF(OR($A44="－",$H44=""),0,IFERROR(ROUND($G44*VLOOKUP($H44,単価表,4,FALSE()),0),0))</f>
        <v>225000</v>
      </c>
      <c r="J44" s="26" t="n">
        <f aca="false">IF(OR($A44="－",$H44=""),0,IFERROR(ROUND($G44*VLOOKUP($H44,単価表,3,FALSE()),0),0))</f>
        <v>180000</v>
      </c>
      <c r="K44" s="53" t="s">
        <v>323</v>
      </c>
      <c r="L44" s="55" t="s">
        <v>234</v>
      </c>
      <c r="BH44" s="43" t="s">
        <v>202</v>
      </c>
      <c r="BI44" s="58" t="n">
        <f aca="false">$J44</f>
        <v>180000</v>
      </c>
      <c r="BJ44" s="58" t="n">
        <f aca="false">$I44</f>
        <v>225000</v>
      </c>
    </row>
    <row r="45" customFormat="false" ht="15" hidden="false" customHeight="false" outlineLevel="0" collapsed="false">
      <c r="A45" s="51" t="s">
        <v>190</v>
      </c>
      <c r="B45" s="52" t="s">
        <v>164</v>
      </c>
      <c r="C45" s="52" t="s">
        <v>251</v>
      </c>
      <c r="D45" s="52" t="s">
        <v>324</v>
      </c>
      <c r="E45" s="63" t="s">
        <v>325</v>
      </c>
      <c r="F45" s="51" t="s">
        <v>73</v>
      </c>
      <c r="G45" s="54" t="n">
        <v>3</v>
      </c>
      <c r="H45" s="55" t="s">
        <v>96</v>
      </c>
      <c r="I45" s="26" t="n">
        <f aca="false">IF(OR($A45="－",$H45=""),0,IFERROR(ROUND($G45*VLOOKUP($H45,単価表,4,FALSE()),0),0))</f>
        <v>225000</v>
      </c>
      <c r="J45" s="26" t="n">
        <f aca="false">IF(OR($A45="－",$H45=""),0,IFERROR(ROUND($G45*VLOOKUP($H45,単価表,3,FALSE()),0),0))</f>
        <v>180000</v>
      </c>
      <c r="K45" s="53" t="s">
        <v>230</v>
      </c>
      <c r="L45" s="55" t="s">
        <v>200</v>
      </c>
      <c r="BH45" s="43" t="s">
        <v>202</v>
      </c>
      <c r="BI45" s="58" t="n">
        <f aca="false">$J45</f>
        <v>180000</v>
      </c>
      <c r="BJ45" s="58" t="n">
        <f aca="false">$I45</f>
        <v>225000</v>
      </c>
    </row>
    <row r="46" customFormat="false" ht="15" hidden="false" customHeight="false" outlineLevel="0" collapsed="false">
      <c r="A46" s="51" t="s">
        <v>190</v>
      </c>
      <c r="B46" s="52" t="s">
        <v>164</v>
      </c>
      <c r="C46" s="52" t="s">
        <v>252</v>
      </c>
      <c r="D46" s="52" t="s">
        <v>326</v>
      </c>
      <c r="E46" s="53" t="s">
        <v>327</v>
      </c>
      <c r="F46" s="51" t="s">
        <v>73</v>
      </c>
      <c r="G46" s="54" t="n">
        <v>3</v>
      </c>
      <c r="H46" s="55" t="s">
        <v>96</v>
      </c>
      <c r="I46" s="26" t="n">
        <f aca="false">IF(OR($A46="－",$H46=""),0,IFERROR(ROUND($G46*VLOOKUP($H46,単価表,4,FALSE()),0),0))</f>
        <v>225000</v>
      </c>
      <c r="J46" s="26" t="n">
        <f aca="false">IF(OR($A46="－",$H46=""),0,IFERROR(ROUND($G46*VLOOKUP($H46,単価表,3,FALSE()),0),0))</f>
        <v>180000</v>
      </c>
      <c r="K46" s="53" t="s">
        <v>230</v>
      </c>
      <c r="L46" s="55" t="s">
        <v>234</v>
      </c>
      <c r="BH46" s="43" t="s">
        <v>202</v>
      </c>
      <c r="BI46" s="58" t="n">
        <f aca="false">$J46</f>
        <v>180000</v>
      </c>
      <c r="BJ46" s="58" t="n">
        <f aca="false">$I46</f>
        <v>225000</v>
      </c>
    </row>
    <row r="47" customFormat="false" ht="15" hidden="false" customHeight="false" outlineLevel="0" collapsed="false">
      <c r="A47" s="73"/>
      <c r="B47" s="73"/>
      <c r="C47" s="73"/>
      <c r="D47" s="73"/>
      <c r="E47" s="73"/>
      <c r="F47" s="73"/>
      <c r="G47" s="73"/>
      <c r="H47" s="73"/>
      <c r="K47" s="73"/>
      <c r="L47" s="73"/>
    </row>
    <row r="48" customFormat="false" ht="15" hidden="false" customHeight="false" outlineLevel="0" collapsed="false">
      <c r="A48" s="74" t="s">
        <v>328</v>
      </c>
      <c r="B48" s="73"/>
      <c r="C48" s="73"/>
      <c r="D48" s="73"/>
      <c r="E48" s="73"/>
      <c r="F48" s="73"/>
      <c r="G48" s="73"/>
      <c r="H48" s="73"/>
      <c r="K48" s="73"/>
      <c r="L48" s="73"/>
    </row>
    <row r="49" customFormat="false" ht="15" hidden="false" customHeight="false" outlineLevel="0" collapsed="false">
      <c r="A49" s="73"/>
      <c r="B49" s="73"/>
      <c r="C49" s="73"/>
      <c r="D49" s="73"/>
      <c r="E49" s="73"/>
      <c r="F49" s="73"/>
      <c r="G49" s="73"/>
      <c r="H49" s="73"/>
      <c r="K49" s="73"/>
      <c r="L49" s="73"/>
    </row>
    <row r="50" customFormat="false" ht="15" hidden="false" customHeight="false" outlineLevel="0" collapsed="false">
      <c r="A50" s="73"/>
      <c r="B50" s="73"/>
      <c r="C50" s="73"/>
      <c r="D50" s="73"/>
      <c r="E50" s="73"/>
      <c r="F50" s="73"/>
      <c r="G50" s="73"/>
      <c r="H50" s="73"/>
      <c r="K50" s="73"/>
      <c r="L50" s="73"/>
    </row>
    <row r="51" customFormat="false" ht="15" hidden="false" customHeight="false" outlineLevel="0" collapsed="false">
      <c r="A51" s="73"/>
      <c r="B51" s="73"/>
      <c r="C51" s="73"/>
      <c r="D51" s="73"/>
      <c r="E51" s="73"/>
      <c r="F51" s="73"/>
      <c r="G51" s="73"/>
      <c r="H51" s="73"/>
      <c r="K51" s="73"/>
      <c r="L51" s="73"/>
    </row>
    <row r="52" customFormat="false" ht="15" hidden="false" customHeight="false" outlineLevel="0" collapsed="false">
      <c r="A52" s="73"/>
      <c r="B52" s="73"/>
      <c r="C52" s="73"/>
      <c r="D52" s="73"/>
      <c r="E52" s="73"/>
      <c r="F52" s="73"/>
      <c r="G52" s="73"/>
      <c r="H52" s="73"/>
      <c r="K52" s="73"/>
      <c r="L52" s="73"/>
    </row>
    <row r="53" customFormat="false" ht="15" hidden="false" customHeight="false" outlineLevel="0" collapsed="false">
      <c r="A53" s="73"/>
      <c r="B53" s="73"/>
      <c r="C53" s="73"/>
      <c r="D53" s="73"/>
      <c r="E53" s="73"/>
      <c r="F53" s="73"/>
      <c r="G53" s="73"/>
      <c r="H53" s="73"/>
      <c r="K53" s="73"/>
      <c r="L53" s="73"/>
    </row>
    <row r="54" customFormat="false" ht="15" hidden="false" customHeight="false" outlineLevel="0" collapsed="false">
      <c r="A54" s="73"/>
      <c r="B54" s="73"/>
      <c r="C54" s="73"/>
      <c r="D54" s="73"/>
      <c r="E54" s="73"/>
      <c r="F54" s="73"/>
      <c r="G54" s="73"/>
      <c r="H54" s="73"/>
      <c r="K54" s="73"/>
      <c r="L54" s="73"/>
    </row>
    <row r="55" customFormat="false" ht="15" hidden="false" customHeight="false" outlineLevel="0" collapsed="false">
      <c r="A55" s="73"/>
      <c r="B55" s="73"/>
      <c r="C55" s="73"/>
      <c r="D55" s="73"/>
      <c r="E55" s="73"/>
      <c r="F55" s="73"/>
      <c r="G55" s="73"/>
      <c r="H55" s="73"/>
      <c r="K55" s="73"/>
      <c r="L55" s="73"/>
    </row>
    <row r="56" customFormat="false" ht="15" hidden="false" customHeight="false" outlineLevel="0" collapsed="false">
      <c r="A56" s="73"/>
      <c r="B56" s="73"/>
      <c r="C56" s="73"/>
      <c r="D56" s="73"/>
      <c r="E56" s="73"/>
      <c r="F56" s="73"/>
      <c r="G56" s="73"/>
      <c r="H56" s="73"/>
      <c r="K56" s="73"/>
      <c r="L56" s="73"/>
    </row>
    <row r="57" customFormat="false" ht="15" hidden="false" customHeight="false" outlineLevel="0" collapsed="false">
      <c r="A57" s="73"/>
      <c r="B57" s="73"/>
      <c r="C57" s="73"/>
      <c r="D57" s="73"/>
      <c r="E57" s="73"/>
      <c r="F57" s="73"/>
      <c r="G57" s="73"/>
      <c r="H57" s="73"/>
      <c r="K57" s="73"/>
      <c r="L57" s="73"/>
    </row>
    <row r="58" customFormat="false" ht="15" hidden="false" customHeight="false" outlineLevel="0" collapsed="false">
      <c r="A58" s="73"/>
      <c r="B58" s="73"/>
      <c r="C58" s="73"/>
      <c r="D58" s="73"/>
      <c r="E58" s="73"/>
      <c r="F58" s="73"/>
      <c r="G58" s="73"/>
      <c r="H58" s="73"/>
      <c r="K58" s="73"/>
      <c r="L58" s="73"/>
    </row>
    <row r="59" customFormat="false" ht="15" hidden="false" customHeight="false" outlineLevel="0" collapsed="false">
      <c r="A59" s="73"/>
      <c r="B59" s="73"/>
      <c r="C59" s="73"/>
      <c r="D59" s="73"/>
      <c r="E59" s="73"/>
      <c r="F59" s="73"/>
      <c r="G59" s="73"/>
      <c r="H59" s="73"/>
      <c r="K59" s="73"/>
      <c r="L59" s="73"/>
    </row>
    <row r="60" customFormat="false" ht="15" hidden="false" customHeight="false" outlineLevel="0" collapsed="false">
      <c r="A60" s="73"/>
      <c r="B60" s="73"/>
      <c r="C60" s="73"/>
      <c r="D60" s="73"/>
      <c r="E60" s="73"/>
      <c r="F60" s="73"/>
      <c r="G60" s="73"/>
      <c r="H60" s="73"/>
      <c r="K60" s="73"/>
      <c r="L60" s="73"/>
    </row>
    <row r="61" customFormat="false" ht="15" hidden="false" customHeight="false" outlineLevel="0" collapsed="false">
      <c r="A61" s="73"/>
      <c r="B61" s="73"/>
      <c r="C61" s="73"/>
      <c r="D61" s="73"/>
      <c r="E61" s="73"/>
      <c r="F61" s="73"/>
      <c r="G61" s="73"/>
      <c r="H61" s="73"/>
      <c r="K61" s="73"/>
      <c r="L61" s="73"/>
    </row>
    <row r="62" customFormat="false" ht="15" hidden="false" customHeight="false" outlineLevel="0" collapsed="false">
      <c r="A62" s="73"/>
      <c r="B62" s="73"/>
      <c r="C62" s="73"/>
      <c r="D62" s="73"/>
      <c r="E62" s="73"/>
      <c r="F62" s="73"/>
      <c r="G62" s="73"/>
      <c r="H62" s="73"/>
      <c r="K62" s="73"/>
      <c r="L62" s="73"/>
    </row>
    <row r="63" customFormat="false" ht="15" hidden="false" customHeight="false" outlineLevel="0" collapsed="false">
      <c r="A63" s="73"/>
      <c r="B63" s="73"/>
      <c r="C63" s="73"/>
      <c r="D63" s="73"/>
      <c r="E63" s="73"/>
      <c r="F63" s="73"/>
      <c r="G63" s="73"/>
      <c r="H63" s="73"/>
      <c r="K63" s="73"/>
      <c r="L63" s="73"/>
    </row>
    <row r="64" customFormat="false" ht="15" hidden="false" customHeight="false" outlineLevel="0" collapsed="false">
      <c r="A64" s="73"/>
      <c r="B64" s="73"/>
      <c r="C64" s="73"/>
      <c r="D64" s="73"/>
      <c r="E64" s="73"/>
      <c r="F64" s="73"/>
      <c r="G64" s="73"/>
      <c r="H64" s="73"/>
      <c r="K64" s="73"/>
      <c r="L64" s="73"/>
    </row>
    <row r="65" customFormat="false" ht="15" hidden="false" customHeight="false" outlineLevel="0" collapsed="false">
      <c r="A65" s="73"/>
      <c r="B65" s="73"/>
      <c r="C65" s="73"/>
      <c r="D65" s="73"/>
      <c r="E65" s="73"/>
      <c r="F65" s="73"/>
      <c r="G65" s="73"/>
      <c r="H65" s="73"/>
      <c r="K65" s="73"/>
      <c r="L65" s="73"/>
    </row>
    <row r="66" customFormat="false" ht="15" hidden="false" customHeight="false" outlineLevel="0" collapsed="false">
      <c r="A66" s="73"/>
      <c r="B66" s="73"/>
      <c r="C66" s="73"/>
      <c r="D66" s="73"/>
      <c r="E66" s="73"/>
      <c r="F66" s="73"/>
      <c r="G66" s="73"/>
      <c r="H66" s="73"/>
      <c r="K66" s="73"/>
      <c r="L66" s="73"/>
    </row>
    <row r="67" customFormat="false" ht="15" hidden="false" customHeight="false" outlineLevel="0" collapsed="false">
      <c r="A67" s="73"/>
      <c r="B67" s="73"/>
      <c r="C67" s="73"/>
      <c r="D67" s="73"/>
      <c r="E67" s="73"/>
      <c r="F67" s="73"/>
      <c r="G67" s="73"/>
      <c r="H67" s="73"/>
      <c r="K67" s="73"/>
      <c r="L67" s="73"/>
    </row>
    <row r="68" customFormat="false" ht="15" hidden="false" customHeight="false" outlineLevel="0" collapsed="false">
      <c r="A68" s="73"/>
      <c r="B68" s="73"/>
      <c r="C68" s="73"/>
      <c r="D68" s="73"/>
      <c r="E68" s="73"/>
      <c r="F68" s="73"/>
      <c r="G68" s="73"/>
      <c r="H68" s="73"/>
      <c r="K68" s="73"/>
      <c r="L68" s="73"/>
    </row>
    <row r="69" customFormat="false" ht="15" hidden="false" customHeight="false" outlineLevel="0" collapsed="false">
      <c r="A69" s="73"/>
      <c r="B69" s="73"/>
      <c r="C69" s="73"/>
      <c r="D69" s="73"/>
      <c r="E69" s="73"/>
      <c r="F69" s="73"/>
      <c r="G69" s="73"/>
      <c r="H69" s="73"/>
      <c r="K69" s="73"/>
      <c r="L69" s="73"/>
    </row>
    <row r="70" customFormat="false" ht="15" hidden="false" customHeight="false" outlineLevel="0" collapsed="false">
      <c r="A70" s="73"/>
      <c r="B70" s="73"/>
      <c r="C70" s="73"/>
      <c r="D70" s="73"/>
      <c r="E70" s="73"/>
      <c r="F70" s="73"/>
      <c r="G70" s="73"/>
      <c r="H70" s="73"/>
      <c r="K70" s="73"/>
      <c r="L70" s="73"/>
    </row>
    <row r="71" customFormat="false" ht="15" hidden="false" customHeight="false" outlineLevel="0" collapsed="false">
      <c r="A71" s="73"/>
      <c r="B71" s="73"/>
      <c r="C71" s="73"/>
      <c r="D71" s="73"/>
      <c r="E71" s="73"/>
      <c r="F71" s="73"/>
      <c r="G71" s="73"/>
      <c r="H71" s="73"/>
      <c r="K71" s="73"/>
      <c r="L71" s="73"/>
    </row>
    <row r="72" customFormat="false" ht="15" hidden="false" customHeight="false" outlineLevel="0" collapsed="false">
      <c r="A72" s="73"/>
      <c r="B72" s="73"/>
      <c r="C72" s="73"/>
      <c r="D72" s="73"/>
      <c r="E72" s="73"/>
      <c r="F72" s="73"/>
      <c r="G72" s="73"/>
      <c r="H72" s="73"/>
      <c r="K72" s="73"/>
      <c r="L72" s="73"/>
    </row>
    <row r="73" customFormat="false" ht="15" hidden="false" customHeight="false" outlineLevel="0" collapsed="false">
      <c r="A73" s="73"/>
      <c r="B73" s="73"/>
      <c r="C73" s="73"/>
      <c r="D73" s="73"/>
      <c r="E73" s="73"/>
      <c r="F73" s="73"/>
      <c r="G73" s="73"/>
      <c r="H73" s="73"/>
      <c r="K73" s="73"/>
      <c r="L73" s="73"/>
    </row>
    <row r="74" customFormat="false" ht="15" hidden="false" customHeight="false" outlineLevel="0" collapsed="false">
      <c r="A74" s="73"/>
      <c r="B74" s="73"/>
      <c r="C74" s="73"/>
      <c r="D74" s="73"/>
      <c r="E74" s="73"/>
      <c r="F74" s="73"/>
      <c r="G74" s="73"/>
      <c r="H74" s="73"/>
      <c r="K74" s="73"/>
      <c r="L74" s="73"/>
    </row>
    <row r="75" customFormat="false" ht="15" hidden="false" customHeight="false" outlineLevel="0" collapsed="false">
      <c r="A75" s="73"/>
      <c r="B75" s="73"/>
      <c r="C75" s="73"/>
      <c r="D75" s="73"/>
      <c r="E75" s="73"/>
      <c r="F75" s="73"/>
      <c r="G75" s="73"/>
      <c r="H75" s="73"/>
      <c r="K75" s="73"/>
      <c r="L75" s="73"/>
    </row>
    <row r="76" customFormat="false" ht="15" hidden="false" customHeight="false" outlineLevel="0" collapsed="false">
      <c r="A76" s="73"/>
      <c r="B76" s="73"/>
      <c r="C76" s="73"/>
      <c r="D76" s="73"/>
      <c r="E76" s="73"/>
      <c r="F76" s="73"/>
      <c r="G76" s="73"/>
      <c r="H76" s="73"/>
      <c r="K76" s="73"/>
      <c r="L76" s="73"/>
    </row>
  </sheetData>
  <sheetProtection sheet="true" formatCells="false" formatColumns="false" formatRows="false" insertRows="false" deleteRows="false" sort="false" autoFilter="false"/>
  <mergeCells count="5">
    <mergeCell ref="N11:P11"/>
    <mergeCell ref="N14:P14"/>
    <mergeCell ref="N15:P15"/>
    <mergeCell ref="N16:P16"/>
    <mergeCell ref="N17:P17"/>
  </mergeCells>
  <conditionalFormatting sqref="A8:L76">
    <cfRule type="expression" priority="2" aboveAverage="0" equalAverage="0" bottom="0" percent="0" rank="0" text="" dxfId="0">
      <formula>$A8="－"</formula>
    </cfRule>
  </conditionalFormatting>
  <conditionalFormatting sqref="H8:H76">
    <cfRule type="expression" priority="3" aboveAverage="0" equalAverage="0" bottom="0" percent="0" rank="0" text="" dxfId="1">
      <formula>AND($BH8="leaf",$A8&lt;&gt;"－",COUNTIF(役割一覧,$H8)=0)</formula>
    </cfRule>
  </conditionalFormatting>
  <conditionalFormatting sqref="L8:L76">
    <cfRule type="expression" priority="4" aboveAverage="0" equalAverage="0" bottom="0" percent="0" rank="0" text="" dxfId="2">
      <formula>$L8="W"</formula>
    </cfRule>
    <cfRule type="expression" priority="5" aboveAverage="0" equalAverage="0" bottom="0" percent="0" rank="0" text="" dxfId="3">
      <formula>$L8="O"</formula>
    </cfRule>
    <cfRule type="expression" priority="6" aboveAverage="0" equalAverage="0" bottom="0" percent="0" rank="0" text="" dxfId="4">
      <formula>$L8="★未確定"</formula>
    </cfRule>
  </conditionalFormatting>
  <dataValidations count="5">
    <dataValidation allowBlank="true" errorStyle="stop" operator="between" showDropDown="false" showErrorMessage="false" showInputMessage="false" sqref="A8:A26 A28:A76" type="list">
      <formula1>"✓,－"</formula1>
      <formula2>0</formula2>
    </dataValidation>
    <dataValidation allowBlank="true" errorStyle="stop" operator="between" showDropDown="false" showErrorMessage="false" showInputMessage="false" sqref="H9:H13 H15:H18 H20:H24 H26 H28:H38 H40:H76" type="list">
      <formula1>役割一覧</formula1>
      <formula2>0</formula2>
    </dataValidation>
    <dataValidation allowBlank="true" errorStyle="stop" operator="between" showDropDown="false" showErrorMessage="false" showInputMessage="false" sqref="F9:F13 F15:F18 F20:F24 F26 F28:F38 F40:F76" type="list">
      <formula1>"ネイティブ,WebView,外部ブラウザ,共通,－"</formula1>
      <formula2>0</formula2>
    </dataValidation>
    <dataValidation allowBlank="true" errorStyle="stop" operator="between" showDropDown="false" showErrorMessage="false" showInputMessage="false" sqref="L9:L13 L15:L18 L20:L24 L26 L28:L38 L40:L76" type="list">
      <formula1>"M,W,O,★未確定"</formula1>
      <formula2>0</formula2>
    </dataValidation>
    <dataValidation allowBlank="true" errorStyle="stop" operator="between" showDropDown="false" showErrorMessage="false" showInputMessage="false" sqref="C9:C13 C15:C18 C20:C24 C26 C28:C38 C40:C76" type="list">
      <formula1>"PM・全体管理,要件定義,UI/UXデザイン,外部設計,内部設計,アプリ(iOS/Android),フロントエンド(Web),API・サーバ,管理画面(CMS),インフラ・環境,バッチ,外部連携,テスト・検証,セキュリティ,運用・保守,共通"</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4453125" defaultRowHeight="15" customHeight="false" zeroHeight="false" outlineLevelRow="0" outlineLevelCol="0"/>
  <cols>
    <col collapsed="false" customWidth="true" hidden="false" outlineLevel="0" max="1" min="1" style="0" width="29.95"/>
    <col collapsed="false" customWidth="true" hidden="false" outlineLevel="0" max="2" min="2" style="0" width="10.57"/>
    <col collapsed="false" customWidth="true" hidden="false" outlineLevel="0" max="3" min="3" style="0" width="9.69"/>
    <col collapsed="false" customWidth="true" hidden="false" outlineLevel="0" max="4" min="4" style="0" width="8.81"/>
    <col collapsed="false" customWidth="true" hidden="false" outlineLevel="0" max="5" min="5" style="0" width="7.93"/>
    <col collapsed="false" customWidth="true" hidden="false" outlineLevel="0" max="6" min="6" style="0" width="7.05"/>
    <col collapsed="false" customWidth="true" hidden="false" outlineLevel="0" max="7" min="7" style="0" width="7.93"/>
    <col collapsed="false" customWidth="true" hidden="false" outlineLevel="0" max="9" min="8" style="0" width="9.69"/>
    <col collapsed="false" customWidth="true" hidden="false" outlineLevel="0" max="10" min="10" style="0" width="7.93"/>
    <col collapsed="false" customWidth="true" hidden="false" outlineLevel="0" max="28" min="11" style="0" width="4.85"/>
  </cols>
  <sheetData>
    <row r="1" customFormat="false" ht="17.35" hidden="false" customHeight="false" outlineLevel="0" collapsed="false">
      <c r="A1" s="1" t="s">
        <v>329</v>
      </c>
    </row>
    <row r="2" customFormat="false" ht="15" hidden="false" customHeight="false" outlineLevel="0" collapsed="false">
      <c r="A2" s="20" t="s">
        <v>330</v>
      </c>
    </row>
    <row r="4" customFormat="false" ht="15" hidden="false" customHeight="false" outlineLevel="0" collapsed="false">
      <c r="A4" s="5" t="s">
        <v>331</v>
      </c>
    </row>
    <row r="5" customFormat="false" ht="15" hidden="false" customHeight="false" outlineLevel="0" collapsed="false">
      <c r="A5" s="15" t="s">
        <v>332</v>
      </c>
      <c r="B5" s="17" t="n">
        <v>46266</v>
      </c>
    </row>
    <row r="6" customFormat="false" ht="15" hidden="false" customHeight="false" outlineLevel="0" collapsed="false">
      <c r="A6" s="15" t="s">
        <v>77</v>
      </c>
      <c r="B6" s="75" t="n">
        <f aca="false">営業日月</f>
        <v>20</v>
      </c>
    </row>
    <row r="8" customFormat="false" ht="15" hidden="false" customHeight="false" outlineLevel="0" collapsed="false">
      <c r="A8" s="5" t="s">
        <v>333</v>
      </c>
    </row>
    <row r="9" customFormat="false" ht="15" hidden="false" customHeight="false" outlineLevel="0" collapsed="false">
      <c r="A9" s="25" t="s">
        <v>334</v>
      </c>
      <c r="B9" s="25" t="s">
        <v>335</v>
      </c>
    </row>
    <row r="10" customFormat="false" ht="15" hidden="false" customHeight="false" outlineLevel="0" collapsed="false">
      <c r="A10" s="61" t="s">
        <v>92</v>
      </c>
      <c r="B10" s="23" t="n">
        <v>1</v>
      </c>
    </row>
    <row r="11" customFormat="false" ht="15" hidden="false" customHeight="false" outlineLevel="0" collapsed="false">
      <c r="A11" s="61" t="s">
        <v>94</v>
      </c>
      <c r="B11" s="23" t="n">
        <v>1</v>
      </c>
    </row>
    <row r="12" customFormat="false" ht="15" hidden="false" customHeight="false" outlineLevel="0" collapsed="false">
      <c r="A12" s="61" t="s">
        <v>96</v>
      </c>
      <c r="B12" s="23" t="n">
        <v>1</v>
      </c>
    </row>
    <row r="13" customFormat="false" ht="15" hidden="false" customHeight="false" outlineLevel="0" collapsed="false">
      <c r="A13" s="15" t="s">
        <v>98</v>
      </c>
      <c r="B13" s="23" t="n">
        <v>1</v>
      </c>
    </row>
    <row r="14" customFormat="false" ht="15" hidden="false" customHeight="false" outlineLevel="0" collapsed="false">
      <c r="A14" s="15" t="s">
        <v>100</v>
      </c>
      <c r="B14" s="23" t="n">
        <v>1</v>
      </c>
    </row>
    <row r="15" customFormat="false" ht="15" hidden="false" customHeight="false" outlineLevel="0" collapsed="false">
      <c r="A15" s="15" t="s">
        <v>102</v>
      </c>
      <c r="B15" s="23" t="n">
        <v>1</v>
      </c>
    </row>
    <row r="16" customFormat="false" ht="15" hidden="false" customHeight="false" outlineLevel="0" collapsed="false">
      <c r="A16" s="15" t="s">
        <v>104</v>
      </c>
      <c r="B16" s="23" t="n">
        <v>1</v>
      </c>
    </row>
    <row r="17" customFormat="false" ht="15" hidden="false" customHeight="false" outlineLevel="0" collapsed="false">
      <c r="A17" s="15" t="s">
        <v>106</v>
      </c>
      <c r="B17" s="23" t="n">
        <v>1</v>
      </c>
    </row>
    <row r="18" customFormat="false" ht="15" hidden="false" customHeight="false" outlineLevel="0" collapsed="false">
      <c r="A18" s="61" t="s">
        <v>108</v>
      </c>
      <c r="B18" s="23" t="n">
        <v>1</v>
      </c>
    </row>
    <row r="19" customFormat="false" ht="15" hidden="false" customHeight="false" outlineLevel="0" collapsed="false">
      <c r="A19" s="61" t="s">
        <v>336</v>
      </c>
      <c r="B19" s="23" t="n">
        <v>1</v>
      </c>
    </row>
    <row r="20" customFormat="false" ht="15" hidden="false" customHeight="false" outlineLevel="0" collapsed="false">
      <c r="A20" s="20" t="s">
        <v>337</v>
      </c>
    </row>
    <row r="21" customFormat="false" ht="15" hidden="false" customHeight="false" outlineLevel="0" collapsed="false">
      <c r="A21" s="5" t="s">
        <v>338</v>
      </c>
    </row>
    <row r="22" customFormat="false" ht="15" hidden="false" customHeight="false" outlineLevel="0" collapsed="false">
      <c r="K22" s="76" t="n">
        <f aca="false">EDATE(DATE(YEAR($B$5),MONTH($B$5),1),0)</f>
        <v>46266</v>
      </c>
      <c r="L22" s="76" t="n">
        <f aca="false">EDATE(DATE(YEAR($B$5),MONTH($B$5),1),1)</f>
        <v>46296</v>
      </c>
      <c r="M22" s="76" t="n">
        <f aca="false">EDATE(DATE(YEAR($B$5),MONTH($B$5),1),2)</f>
        <v>46327</v>
      </c>
      <c r="N22" s="76" t="n">
        <f aca="false">EDATE(DATE(YEAR($B$5),MONTH($B$5),1),3)</f>
        <v>46357</v>
      </c>
      <c r="O22" s="76" t="n">
        <f aca="false">EDATE(DATE(YEAR($B$5),MONTH($B$5),1),4)</f>
        <v>46388</v>
      </c>
      <c r="P22" s="76" t="n">
        <f aca="false">EDATE(DATE(YEAR($B$5),MONTH($B$5),1),5)</f>
        <v>46419</v>
      </c>
      <c r="Q22" s="76" t="n">
        <f aca="false">EDATE(DATE(YEAR($B$5),MONTH($B$5),1),6)</f>
        <v>46447</v>
      </c>
      <c r="R22" s="76" t="n">
        <f aca="false">EDATE(DATE(YEAR($B$5),MONTH($B$5),1),7)</f>
        <v>46478</v>
      </c>
      <c r="S22" s="76" t="n">
        <f aca="false">EDATE(DATE(YEAR($B$5),MONTH($B$5),1),8)</f>
        <v>46508</v>
      </c>
      <c r="T22" s="76" t="n">
        <f aca="false">EDATE(DATE(YEAR($B$5),MONTH($B$5),1),9)</f>
        <v>46539</v>
      </c>
      <c r="U22" s="76" t="n">
        <f aca="false">EDATE(DATE(YEAR($B$5),MONTH($B$5),1),10)</f>
        <v>46569</v>
      </c>
      <c r="V22" s="76" t="n">
        <f aca="false">EDATE(DATE(YEAR($B$5),MONTH($B$5),1),11)</f>
        <v>46600</v>
      </c>
      <c r="W22" s="76" t="n">
        <f aca="false">EDATE(DATE(YEAR($B$5),MONTH($B$5),1),12)</f>
        <v>46631</v>
      </c>
      <c r="X22" s="76" t="n">
        <f aca="false">EDATE(DATE(YEAR($B$5),MONTH($B$5),1),13)</f>
        <v>46661</v>
      </c>
      <c r="Y22" s="76" t="n">
        <f aca="false">EDATE(DATE(YEAR($B$5),MONTH($B$5),1),14)</f>
        <v>46692</v>
      </c>
      <c r="Z22" s="76" t="n">
        <f aca="false">EDATE(DATE(YEAR($B$5),MONTH($B$5),1),15)</f>
        <v>46722</v>
      </c>
      <c r="AA22" s="76" t="n">
        <f aca="false">EDATE(DATE(YEAR($B$5),MONTH($B$5),1),16)</f>
        <v>46753</v>
      </c>
      <c r="AB22" s="76" t="n">
        <f aca="false">EDATE(DATE(YEAR($B$5),MONTH($B$5),1),17)</f>
        <v>46784</v>
      </c>
    </row>
    <row r="23" customFormat="false" ht="27.75" hidden="false" customHeight="true" outlineLevel="0" collapsed="false">
      <c r="A23" s="65" t="s">
        <v>339</v>
      </c>
      <c r="B23" s="65" t="s">
        <v>114</v>
      </c>
      <c r="C23" s="65" t="s">
        <v>334</v>
      </c>
      <c r="D23" s="65" t="s">
        <v>154</v>
      </c>
      <c r="E23" s="65" t="s">
        <v>340</v>
      </c>
      <c r="F23" s="65" t="s">
        <v>341</v>
      </c>
      <c r="G23" s="65" t="s">
        <v>342</v>
      </c>
      <c r="H23" s="65" t="s">
        <v>343</v>
      </c>
      <c r="I23" s="65" t="s">
        <v>344</v>
      </c>
      <c r="J23" s="65" t="s">
        <v>345</v>
      </c>
      <c r="K23" s="25" t="str">
        <f aca="false">TEXT(K22,"m月")</f>
        <v>9月</v>
      </c>
      <c r="L23" s="25" t="str">
        <f aca="false">TEXT(L22,"m月")</f>
        <v>10月</v>
      </c>
      <c r="M23" s="25" t="str">
        <f aca="false">TEXT(M22,"m月")</f>
        <v>11月</v>
      </c>
      <c r="N23" s="25" t="str">
        <f aca="false">TEXT(N22,"m月")</f>
        <v>12月</v>
      </c>
      <c r="O23" s="25" t="str">
        <f aca="false">TEXT(O22,"m月")</f>
        <v>1月</v>
      </c>
      <c r="P23" s="25" t="str">
        <f aca="false">TEXT(P22,"m月")</f>
        <v>2月</v>
      </c>
      <c r="Q23" s="25" t="str">
        <f aca="false">TEXT(Q22,"m月")</f>
        <v>3月</v>
      </c>
      <c r="R23" s="25" t="str">
        <f aca="false">TEXT(R22,"m月")</f>
        <v>4月</v>
      </c>
      <c r="S23" s="25" t="str">
        <f aca="false">TEXT(S22,"m月")</f>
        <v>5月</v>
      </c>
      <c r="T23" s="25" t="str">
        <f aca="false">TEXT(T22,"m月")</f>
        <v>6月</v>
      </c>
      <c r="U23" s="25" t="str">
        <f aca="false">TEXT(U22,"m月")</f>
        <v>7月</v>
      </c>
      <c r="V23" s="25" t="str">
        <f aca="false">TEXT(V22,"m月")</f>
        <v>8月</v>
      </c>
      <c r="W23" s="25" t="str">
        <f aca="false">TEXT(W22,"m月")</f>
        <v>9月</v>
      </c>
      <c r="X23" s="25" t="str">
        <f aca="false">TEXT(X22,"m月")</f>
        <v>10月</v>
      </c>
      <c r="Y23" s="25" t="str">
        <f aca="false">TEXT(Y22,"m月")</f>
        <v>11月</v>
      </c>
      <c r="Z23" s="25" t="str">
        <f aca="false">TEXT(Z22,"m月")</f>
        <v>12月</v>
      </c>
      <c r="AA23" s="25" t="str">
        <f aca="false">TEXT(AA22,"m月")</f>
        <v>1月</v>
      </c>
      <c r="AB23" s="25" t="str">
        <f aca="false">TEXT(AB22,"m月")</f>
        <v>2月</v>
      </c>
    </row>
    <row r="24" customFormat="false" ht="15" hidden="false" customHeight="false" outlineLevel="0" collapsed="false">
      <c r="A24" s="52" t="s">
        <v>159</v>
      </c>
      <c r="B24" s="55" t="s">
        <v>346</v>
      </c>
      <c r="C24" s="77" t="s">
        <v>336</v>
      </c>
      <c r="D24" s="78" t="n">
        <f aca="false">ROUND(SUMIFS(見積書!$G:$G,見積書!$B:$B,"要件定義",見積書!$BH:$BH,"leaf",見積書!$A:$A,"&lt;&gt;－"),1)</f>
        <v>25</v>
      </c>
      <c r="E24" s="79" t="n">
        <f aca="false">MAX(1,IFERROR(VLOOKUP($C24,$A$10:$B$19,2,FALSE()),1))</f>
        <v>1</v>
      </c>
      <c r="F24" s="79" t="n">
        <f aca="false">IF(OR($D24=0,$D24="",$D24="－"),0,ROUNDUP($D24/$E24,0))</f>
        <v>25</v>
      </c>
      <c r="G24" s="80" t="n">
        <v>0</v>
      </c>
      <c r="H24" s="81" t="n">
        <f aca="false">WORKDAY($B$5-1,$G24+1)</f>
        <v>46266</v>
      </c>
      <c r="I24" s="81" t="n">
        <f aca="false">IF($F24&lt;=1,$H24,WORKDAY($H24,$F24-1))</f>
        <v>46300</v>
      </c>
      <c r="J24" s="82" t="str">
        <f aca="false">IF($F24=0,"－",ROUND($F24/$B$6,1)&amp;"ヶ月")</f>
        <v>1.3ヶ月</v>
      </c>
      <c r="K24" s="15"/>
      <c r="L24" s="15"/>
      <c r="M24" s="15"/>
      <c r="N24" s="15"/>
      <c r="O24" s="15"/>
      <c r="P24" s="15"/>
      <c r="Q24" s="15"/>
      <c r="R24" s="15"/>
      <c r="S24" s="15"/>
      <c r="T24" s="15"/>
      <c r="U24" s="15"/>
      <c r="V24" s="15"/>
      <c r="W24" s="15"/>
      <c r="X24" s="15"/>
      <c r="Y24" s="15"/>
      <c r="Z24" s="15"/>
      <c r="AA24" s="15"/>
      <c r="AB24" s="15"/>
    </row>
    <row r="25" customFormat="false" ht="15" hidden="false" customHeight="false" outlineLevel="0" collapsed="false">
      <c r="A25" s="52" t="s">
        <v>160</v>
      </c>
      <c r="B25" s="55" t="s">
        <v>346</v>
      </c>
      <c r="C25" s="77" t="s">
        <v>336</v>
      </c>
      <c r="D25" s="78" t="n">
        <f aca="false">ROUND(SUMIFS(見積書!$G:$G,見積書!$B:$B,"デザイン",見積書!$BH:$BH,"leaf",見積書!$A:$A,"&lt;&gt;－"),1)</f>
        <v>31</v>
      </c>
      <c r="E25" s="79" t="n">
        <f aca="false">MAX(1,IFERROR(VLOOKUP($C25,$A$10:$B$19,2,FALSE()),1))</f>
        <v>1</v>
      </c>
      <c r="F25" s="79" t="n">
        <f aca="false">IF(OR($D25=0,$D25="",$D25="－"),0,ROUNDUP($D25/$E25,0))</f>
        <v>31</v>
      </c>
      <c r="G25" s="80" t="n">
        <f aca="false">$G24+$F24</f>
        <v>25</v>
      </c>
      <c r="H25" s="81" t="n">
        <f aca="false">WORKDAY($B$5-1,$G25+1)</f>
        <v>46301</v>
      </c>
      <c r="I25" s="81" t="n">
        <f aca="false">IF($F25&lt;=1,$H25,WORKDAY($H25,$F25-1))</f>
        <v>46343</v>
      </c>
      <c r="J25" s="82" t="str">
        <f aca="false">IF($F25=0,"－",ROUND($F25/$B$6,1)&amp;"ヶ月")</f>
        <v>1.6ヶ月</v>
      </c>
      <c r="K25" s="15"/>
      <c r="L25" s="15"/>
      <c r="M25" s="15"/>
      <c r="N25" s="15"/>
      <c r="O25" s="15"/>
      <c r="P25" s="15"/>
      <c r="Q25" s="15"/>
      <c r="R25" s="15"/>
      <c r="S25" s="15"/>
      <c r="T25" s="15"/>
      <c r="U25" s="15"/>
      <c r="V25" s="15"/>
      <c r="W25" s="15"/>
      <c r="X25" s="15"/>
      <c r="Y25" s="15"/>
      <c r="Z25" s="15"/>
      <c r="AA25" s="15"/>
      <c r="AB25" s="15"/>
    </row>
    <row r="26" customFormat="false" ht="15" hidden="false" customHeight="false" outlineLevel="0" collapsed="false">
      <c r="A26" s="52" t="s">
        <v>161</v>
      </c>
      <c r="B26" s="55" t="s">
        <v>346</v>
      </c>
      <c r="C26" s="77" t="s">
        <v>336</v>
      </c>
      <c r="D26" s="78" t="n">
        <f aca="false">ROUND(SUMIFS(見積書!$G:$G,見積書!$B:$B,"設計",見積書!$BH:$BH,"leaf",見積書!$A:$A,"&lt;&gt;－"),1)</f>
        <v>31</v>
      </c>
      <c r="E26" s="79" t="n">
        <f aca="false">MAX(1,IFERROR(VLOOKUP($C26,$A$10:$B$19,2,FALSE()),1))</f>
        <v>1</v>
      </c>
      <c r="F26" s="79" t="n">
        <f aca="false">IF(OR($D26=0,$D26="",$D26="－"),0,ROUNDUP($D26/$E26,0))</f>
        <v>31</v>
      </c>
      <c r="G26" s="80" t="n">
        <f aca="false">$G25+$F25</f>
        <v>56</v>
      </c>
      <c r="H26" s="81" t="n">
        <f aca="false">WORKDAY($B$5-1,$G26+1)</f>
        <v>46344</v>
      </c>
      <c r="I26" s="81" t="n">
        <f aca="false">IF($F26&lt;=1,$H26,WORKDAY($H26,$F26-1))</f>
        <v>46386</v>
      </c>
      <c r="J26" s="82" t="str">
        <f aca="false">IF($F26=0,"－",ROUND($F26/$B$6,1)&amp;"ヶ月")</f>
        <v>1.6ヶ月</v>
      </c>
      <c r="K26" s="15"/>
      <c r="L26" s="15"/>
      <c r="M26" s="15"/>
      <c r="N26" s="15"/>
      <c r="O26" s="15"/>
      <c r="P26" s="15"/>
      <c r="Q26" s="15"/>
      <c r="R26" s="15"/>
      <c r="S26" s="15"/>
      <c r="T26" s="15"/>
      <c r="U26" s="15"/>
      <c r="V26" s="15"/>
      <c r="W26" s="15"/>
      <c r="X26" s="15"/>
      <c r="Y26" s="15"/>
      <c r="Z26" s="15"/>
      <c r="AA26" s="15"/>
      <c r="AB26" s="15"/>
    </row>
    <row r="27" customFormat="false" ht="15" hidden="false" customHeight="false" outlineLevel="0" collapsed="false">
      <c r="A27" s="52" t="s">
        <v>162</v>
      </c>
      <c r="B27" s="55" t="s">
        <v>346</v>
      </c>
      <c r="C27" s="77" t="s">
        <v>336</v>
      </c>
      <c r="D27" s="78" t="n">
        <f aca="false">ROUND(SUMIFS(見積書!$G:$G,見積書!$B:$B,"開発",見積書!$BH:$BH,"leaf",見積書!$A:$A,"&lt;&gt;－"),1)</f>
        <v>69</v>
      </c>
      <c r="E27" s="79" t="n">
        <f aca="false">MAX(1,IFERROR(VLOOKUP($C27,$A$10:$B$19,2,FALSE()),1))</f>
        <v>1</v>
      </c>
      <c r="F27" s="79" t="n">
        <f aca="false">IF(OR($D27=0,$D27="",$D27="－"),0,ROUNDUP($D27/$E27,0))</f>
        <v>69</v>
      </c>
      <c r="G27" s="80" t="n">
        <f aca="false">$G26+$F26</f>
        <v>87</v>
      </c>
      <c r="H27" s="81" t="n">
        <f aca="false">WORKDAY($B$5-1,$G27+1)</f>
        <v>46387</v>
      </c>
      <c r="I27" s="81" t="n">
        <f aca="false">IF($F27&lt;=1,$H27,WORKDAY($H27,$F27-1))</f>
        <v>46483</v>
      </c>
      <c r="J27" s="82" t="str">
        <f aca="false">IF($F27=0,"－",ROUND($F27/$B$6,1)&amp;"ヶ月")</f>
        <v>3.5ヶ月</v>
      </c>
      <c r="K27" s="15"/>
      <c r="L27" s="15"/>
      <c r="M27" s="15"/>
      <c r="N27" s="15"/>
      <c r="O27" s="15"/>
      <c r="P27" s="15"/>
      <c r="Q27" s="15"/>
      <c r="R27" s="15"/>
      <c r="S27" s="15"/>
      <c r="T27" s="15"/>
      <c r="U27" s="15"/>
      <c r="V27" s="15"/>
      <c r="W27" s="15"/>
      <c r="X27" s="15"/>
      <c r="Y27" s="15"/>
      <c r="Z27" s="15"/>
      <c r="AA27" s="15"/>
      <c r="AB27" s="15"/>
    </row>
    <row r="28" customFormat="false" ht="15" hidden="false" customHeight="false" outlineLevel="0" collapsed="false">
      <c r="A28" s="52" t="s">
        <v>163</v>
      </c>
      <c r="B28" s="55" t="s">
        <v>346</v>
      </c>
      <c r="C28" s="77" t="s">
        <v>336</v>
      </c>
      <c r="D28" s="78" t="n">
        <f aca="false">ROUND(SUMIFS(見積書!$G:$G,見積書!$B:$B,"テスト",見積書!$BH:$BH,"leaf",見積書!$A:$A,"&lt;&gt;－"),1)</f>
        <v>28</v>
      </c>
      <c r="E28" s="79" t="n">
        <f aca="false">MAX(1,IFERROR(VLOOKUP($C28,$A$10:$B$19,2,FALSE()),1))</f>
        <v>1</v>
      </c>
      <c r="F28" s="79" t="n">
        <f aca="false">IF(OR($D28=0,$D28="",$D28="－"),0,ROUNDUP($D28/$E28,0))</f>
        <v>28</v>
      </c>
      <c r="G28" s="80" t="n">
        <f aca="false">$G27+$F27</f>
        <v>156</v>
      </c>
      <c r="H28" s="81" t="n">
        <f aca="false">WORKDAY($B$5-1,$G28+1)</f>
        <v>46484</v>
      </c>
      <c r="I28" s="81" t="n">
        <f aca="false">IF($F28&lt;=1,$H28,WORKDAY($H28,$F28-1))</f>
        <v>46521</v>
      </c>
      <c r="J28" s="82" t="str">
        <f aca="false">IF($F28=0,"－",ROUND($F28/$B$6,1)&amp;"ヶ月")</f>
        <v>1.4ヶ月</v>
      </c>
      <c r="K28" s="15"/>
      <c r="L28" s="15"/>
      <c r="M28" s="15"/>
      <c r="N28" s="15"/>
      <c r="O28" s="15"/>
      <c r="P28" s="15"/>
      <c r="Q28" s="15"/>
      <c r="R28" s="15"/>
      <c r="S28" s="15"/>
      <c r="T28" s="15"/>
      <c r="U28" s="15"/>
      <c r="V28" s="15"/>
      <c r="W28" s="15"/>
      <c r="X28" s="15"/>
      <c r="Y28" s="15"/>
      <c r="Z28" s="15"/>
      <c r="AA28" s="15"/>
      <c r="AB28" s="15"/>
    </row>
    <row r="29" customFormat="false" ht="15" hidden="false" customHeight="false" outlineLevel="0" collapsed="false">
      <c r="A29" s="52" t="s">
        <v>164</v>
      </c>
      <c r="B29" s="55" t="s">
        <v>346</v>
      </c>
      <c r="C29" s="77" t="s">
        <v>336</v>
      </c>
      <c r="D29" s="78" t="n">
        <f aca="false">ROUND(SUMIFS(見積書!$G:$G,見積書!$B:$B,"リリース",見積書!$BH:$BH,"leaf",見積書!$A:$A,"&lt;&gt;－"),1)</f>
        <v>6</v>
      </c>
      <c r="E29" s="79" t="n">
        <f aca="false">MAX(1,IFERROR(VLOOKUP($C29,$A$10:$B$19,2,FALSE()),1))</f>
        <v>1</v>
      </c>
      <c r="F29" s="79" t="n">
        <f aca="false">IF(OR($D29=0,$D29="",$D29="－"),0,ROUNDUP($D29/$E29,0))</f>
        <v>6</v>
      </c>
      <c r="G29" s="80" t="n">
        <f aca="false">$G28+$F28</f>
        <v>184</v>
      </c>
      <c r="H29" s="81" t="n">
        <f aca="false">WORKDAY($B$5-1,$G29+1)</f>
        <v>46524</v>
      </c>
      <c r="I29" s="81" t="n">
        <f aca="false">IF($F29&lt;=1,$H29,WORKDAY($H29,$F29-1))</f>
        <v>46531</v>
      </c>
      <c r="J29" s="82" t="str">
        <f aca="false">IF($F29=0,"－",ROUND($F29/$B$6,1)&amp;"ヶ月")</f>
        <v>0.3ヶ月</v>
      </c>
      <c r="K29" s="15"/>
      <c r="L29" s="15"/>
      <c r="M29" s="15"/>
      <c r="N29" s="15"/>
      <c r="O29" s="15"/>
      <c r="P29" s="15"/>
      <c r="Q29" s="15"/>
      <c r="R29" s="15"/>
      <c r="S29" s="15"/>
      <c r="T29" s="15"/>
      <c r="U29" s="15"/>
      <c r="V29" s="15"/>
      <c r="W29" s="15"/>
      <c r="X29" s="15"/>
      <c r="Y29" s="15"/>
      <c r="Z29" s="15"/>
      <c r="AA29" s="15"/>
      <c r="AB29" s="15"/>
    </row>
    <row r="30" customFormat="false" ht="15" hidden="false" customHeight="false" outlineLevel="0" collapsed="false">
      <c r="A30" s="52" t="s">
        <v>347</v>
      </c>
      <c r="B30" s="51" t="s">
        <v>348</v>
      </c>
      <c r="C30" s="77" t="s">
        <v>336</v>
      </c>
      <c r="D30" s="83" t="n">
        <v>0</v>
      </c>
      <c r="E30" s="79" t="n">
        <f aca="false">MAX(1,IFERROR(VLOOKUP($C30,$A$10:$B$19,2,FALSE()),1))</f>
        <v>1</v>
      </c>
      <c r="F30" s="80" t="n">
        <v>10</v>
      </c>
      <c r="G30" s="80" t="n">
        <f aca="false">$G29+$F29</f>
        <v>190</v>
      </c>
      <c r="H30" s="81" t="n">
        <f aca="false">WORKDAY($B$5-1,$G30+1)</f>
        <v>46532</v>
      </c>
      <c r="I30" s="81" t="n">
        <f aca="false">IF($F30&lt;=1,$H30,WORKDAY($H30,$F30-1))</f>
        <v>46545</v>
      </c>
      <c r="J30" s="82" t="str">
        <f aca="false">IF($F30=0,"－",ROUND($F30/$B$6,1)&amp;"ヶ月")</f>
        <v>0.5ヶ月</v>
      </c>
      <c r="K30" s="15"/>
      <c r="L30" s="15"/>
      <c r="M30" s="15"/>
      <c r="N30" s="15"/>
      <c r="O30" s="15"/>
      <c r="P30" s="15"/>
      <c r="Q30" s="15"/>
      <c r="R30" s="15"/>
      <c r="S30" s="15"/>
      <c r="T30" s="15"/>
      <c r="U30" s="15"/>
      <c r="V30" s="15"/>
      <c r="W30" s="15"/>
      <c r="X30" s="15"/>
      <c r="Y30" s="15"/>
      <c r="Z30" s="15"/>
      <c r="AA30" s="15"/>
      <c r="AB30" s="15"/>
    </row>
    <row r="31" customFormat="false" ht="15" hidden="false" customHeight="false" outlineLevel="0" collapsed="false">
      <c r="A31" s="52" t="s">
        <v>349</v>
      </c>
      <c r="B31" s="51" t="s">
        <v>350</v>
      </c>
      <c r="C31" s="77" t="s">
        <v>336</v>
      </c>
      <c r="D31" s="83" t="n">
        <v>0</v>
      </c>
      <c r="E31" s="79" t="n">
        <f aca="false">MAX(1,IFERROR(VLOOKUP($C31,$A$10:$B$19,2,FALSE()),1))</f>
        <v>1</v>
      </c>
      <c r="F31" s="80" t="n">
        <v>10</v>
      </c>
      <c r="G31" s="80" t="n">
        <f aca="false">$G30+$F30</f>
        <v>200</v>
      </c>
      <c r="H31" s="81" t="n">
        <f aca="false">WORKDAY($B$5-1,$G31+1)</f>
        <v>46546</v>
      </c>
      <c r="I31" s="81" t="n">
        <f aca="false">IF($F31&lt;=1,$H31,WORKDAY($H31,$F31-1))</f>
        <v>46559</v>
      </c>
      <c r="J31" s="82" t="str">
        <f aca="false">IF($F31=0,"－",ROUND($F31/$B$6,1)&amp;"ヶ月")</f>
        <v>0.5ヶ月</v>
      </c>
      <c r="K31" s="15"/>
      <c r="L31" s="15"/>
      <c r="M31" s="15"/>
      <c r="N31" s="15"/>
      <c r="O31" s="15"/>
      <c r="P31" s="15"/>
      <c r="Q31" s="15"/>
      <c r="R31" s="15"/>
      <c r="S31" s="15"/>
      <c r="T31" s="15"/>
      <c r="U31" s="15"/>
      <c r="V31" s="15"/>
      <c r="W31" s="15"/>
      <c r="X31" s="15"/>
      <c r="Y31" s="15"/>
      <c r="Z31" s="15"/>
      <c r="AA31" s="15"/>
      <c r="AB31" s="15"/>
    </row>
    <row r="32" customFormat="false" ht="15" hidden="false" customHeight="false" outlineLevel="0" collapsed="false">
      <c r="A32" s="52" t="s">
        <v>351</v>
      </c>
      <c r="B32" s="51" t="s">
        <v>164</v>
      </c>
      <c r="C32" s="77" t="s">
        <v>336</v>
      </c>
      <c r="D32" s="83" t="n">
        <v>0</v>
      </c>
      <c r="E32" s="79" t="n">
        <f aca="false">MAX(1,IFERROR(VLOOKUP($C32,$A$10:$B$19,2,FALSE()),1))</f>
        <v>1</v>
      </c>
      <c r="F32" s="80" t="n">
        <v>1</v>
      </c>
      <c r="G32" s="80" t="n">
        <f aca="false">$G31+$F31</f>
        <v>210</v>
      </c>
      <c r="H32" s="81" t="n">
        <f aca="false">WORKDAY($B$5-1,$G32+1)</f>
        <v>46560</v>
      </c>
      <c r="I32" s="81" t="n">
        <f aca="false">IF($F32&lt;=1,$H32,WORKDAY($H32,$F32-1))</f>
        <v>46560</v>
      </c>
      <c r="J32" s="82" t="str">
        <f aca="false">IF($F32=0,"－",ROUND($F32/$B$6,1)&amp;"ヶ月")</f>
        <v>0.1ヶ月</v>
      </c>
      <c r="K32" s="15"/>
      <c r="L32" s="15"/>
      <c r="M32" s="15"/>
      <c r="N32" s="15"/>
      <c r="O32" s="15"/>
      <c r="P32" s="15"/>
      <c r="Q32" s="15"/>
      <c r="R32" s="15"/>
      <c r="S32" s="15"/>
      <c r="T32" s="15"/>
      <c r="U32" s="15"/>
      <c r="V32" s="15"/>
      <c r="W32" s="15"/>
      <c r="X32" s="15"/>
      <c r="Y32" s="15"/>
      <c r="Z32" s="15"/>
      <c r="AA32" s="15"/>
      <c r="AB32" s="15"/>
    </row>
    <row r="34" customFormat="false" ht="15" hidden="false" customHeight="false" outlineLevel="0" collapsed="false">
      <c r="A34" s="84" t="s">
        <v>352</v>
      </c>
      <c r="H34" s="85" t="n">
        <f aca="false">MAX(I24:I32)</f>
        <v>46560</v>
      </c>
    </row>
    <row r="35" customFormat="false" ht="15" hidden="false" customHeight="false" outlineLevel="0" collapsed="false">
      <c r="A35" s="15" t="s">
        <v>353</v>
      </c>
      <c r="H35" s="75" t="n">
        <f aca="false">NETWORKDAYS($B$5,H34)</f>
        <v>211</v>
      </c>
    </row>
    <row r="36" customFormat="false" ht="15" hidden="false" customHeight="false" outlineLevel="0" collapsed="false">
      <c r="A36" s="15" t="s">
        <v>354</v>
      </c>
      <c r="H36" s="82" t="str">
        <f aca="false">ROUND(H35/$B$6,1)&amp;"ヶ月"</f>
        <v>10.6ヶ月</v>
      </c>
    </row>
    <row r="38" customFormat="false" ht="15" hidden="false" customHeight="false" outlineLevel="0" collapsed="false">
      <c r="A38" s="20" t="s">
        <v>355</v>
      </c>
      <c r="B38" s="86"/>
      <c r="C38" s="87"/>
      <c r="D38" s="88"/>
      <c r="E38" s="89"/>
      <c r="F38" s="90"/>
      <c r="H38" s="20" t="s">
        <v>356</v>
      </c>
    </row>
    <row r="39" customFormat="false" ht="15" hidden="false" customHeight="false" outlineLevel="0" collapsed="false">
      <c r="B39" s="91" t="s">
        <v>346</v>
      </c>
      <c r="C39" s="92" t="s">
        <v>357</v>
      </c>
      <c r="D39" s="92" t="s">
        <v>348</v>
      </c>
      <c r="E39" s="92" t="s">
        <v>350</v>
      </c>
      <c r="F39" s="92" t="s">
        <v>164</v>
      </c>
    </row>
    <row r="41" customFormat="false" ht="15" hidden="false" customHeight="false" outlineLevel="0" collapsed="false">
      <c r="A41" s="28" t="s">
        <v>358</v>
      </c>
    </row>
  </sheetData>
  <sheetProtection sheet="true" formatCells="false" formatColumns="false" formatRows="false" insertRows="false" deleteRows="false" sort="false" autoFilter="false"/>
  <conditionalFormatting sqref="K24:AB32">
    <cfRule type="expression" priority="2" aboveAverage="0" equalAverage="0" bottom="0" percent="0" rank="0" text="" dxfId="5">
      <formula>AND($B24="BS",$H24&lt;=EOMONTH(K$22,0),$I24&gt;=K$22)</formula>
    </cfRule>
    <cfRule type="expression" priority="3" aboveAverage="0" equalAverage="0" bottom="0" percent="0" rank="0" text="" dxfId="6">
      <formula>AND($B24="共同",$H24&lt;=EOMONTH(K$22,0),$I24&gt;=K$22)</formula>
    </cfRule>
    <cfRule type="expression" priority="4" aboveAverage="0" equalAverage="0" bottom="0" percent="0" rank="0" text="" dxfId="7">
      <formula>AND($B24="貴社",$H24&lt;=EOMONTH(K$22,0),$I24&gt;=K$22)</formula>
    </cfRule>
    <cfRule type="expression" priority="5" aboveAverage="0" equalAverage="0" bottom="0" percent="0" rank="0" text="" dxfId="8">
      <formula>AND($B24="審査待",$H24&lt;=EOMONTH(K$22,0),$I24&gt;=K$22)</formula>
    </cfRule>
    <cfRule type="expression" priority="6" aboveAverage="0" equalAverage="0" bottom="0" percent="0" rank="0" text="" dxfId="9">
      <formula>AND($B24="リリース",$H24&lt;=EOMONTH(K$22,0),$I24&gt;=K$22)</formula>
    </cfRule>
  </conditionalFormatting>
  <dataValidations count="2">
    <dataValidation allowBlank="true" errorStyle="stop" operator="between" showDropDown="false" showErrorMessage="false" showInputMessage="false" sqref="B24:B32" type="list">
      <formula1>"BS,共同,貴社,審査待,リリース"</formula1>
      <formula2>0</formula2>
    </dataValidation>
    <dataValidation allowBlank="true" errorStyle="stop" operator="between" showDropDown="false" showErrorMessage="false" showInputMessage="false" sqref="C24:C32" type="list">
      <formula1>$A$10:$A$19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7.64453125" defaultRowHeight="15" customHeight="false" zeroHeight="false" outlineLevelRow="0" outlineLevelCol="0"/>
  <cols>
    <col collapsed="false" customWidth="true" hidden="false" outlineLevel="0" max="1" min="1" style="0" width="6.17"/>
    <col collapsed="false" customWidth="true" hidden="false" outlineLevel="0" max="2" min="2" style="0" width="4.4"/>
    <col collapsed="false" customWidth="true" hidden="false" outlineLevel="0" max="3" min="3" style="0" width="14.97"/>
    <col collapsed="false" customWidth="true" hidden="false" outlineLevel="0" max="4" min="4" style="0" width="22.91"/>
    <col collapsed="false" customWidth="true" hidden="false" outlineLevel="0" max="5" min="5" style="0" width="65.19"/>
    <col collapsed="false" customWidth="true" hidden="false" outlineLevel="0" max="6" min="6" style="0" width="26.43"/>
  </cols>
  <sheetData>
    <row r="1" customFormat="false" ht="17.35" hidden="false" customHeight="false" outlineLevel="0" collapsed="false">
      <c r="A1" s="1" t="s">
        <v>359</v>
      </c>
    </row>
    <row r="2" customFormat="false" ht="15" hidden="false" customHeight="false" outlineLevel="0" collapsed="false">
      <c r="A2" s="20" t="s">
        <v>360</v>
      </c>
    </row>
    <row r="3" customFormat="false" ht="15" hidden="false" customHeight="false" outlineLevel="0" collapsed="false">
      <c r="F3" s="93" t="str">
        <f aca="false">"確認済み "&amp;COUNTIF($A$5:$A$58,"✓")&amp;" / 54 項目"</f>
        <v>確認済み 0 / 54 項目</v>
      </c>
    </row>
    <row r="4" customFormat="false" ht="15" hidden="false" customHeight="false" outlineLevel="0" collapsed="false">
      <c r="A4" s="25" t="s">
        <v>361</v>
      </c>
      <c r="B4" s="94" t="s">
        <v>362</v>
      </c>
      <c r="C4" s="25" t="s">
        <v>180</v>
      </c>
      <c r="D4" s="25" t="s">
        <v>181</v>
      </c>
      <c r="E4" s="25" t="s">
        <v>363</v>
      </c>
      <c r="F4" s="25" t="s">
        <v>364</v>
      </c>
    </row>
    <row r="5" customFormat="false" ht="45.75" hidden="false" customHeight="true" outlineLevel="0" collapsed="false">
      <c r="A5" s="51"/>
      <c r="B5" s="43" t="n">
        <v>1</v>
      </c>
      <c r="C5" s="95" t="s">
        <v>365</v>
      </c>
      <c r="D5" s="33" t="s">
        <v>366</v>
      </c>
      <c r="E5" s="96" t="s">
        <v>367</v>
      </c>
      <c r="F5" s="52"/>
    </row>
    <row r="6" customFormat="false" ht="45.75" hidden="false" customHeight="true" outlineLevel="0" collapsed="false">
      <c r="A6" s="51"/>
      <c r="B6" s="43" t="n">
        <v>2</v>
      </c>
      <c r="C6" s="95"/>
      <c r="D6" s="33" t="s">
        <v>368</v>
      </c>
      <c r="E6" s="96" t="s">
        <v>369</v>
      </c>
      <c r="F6" s="52"/>
    </row>
    <row r="7" customFormat="false" ht="45.75" hidden="false" customHeight="true" outlineLevel="0" collapsed="false">
      <c r="A7" s="51"/>
      <c r="B7" s="43" t="n">
        <v>3</v>
      </c>
      <c r="C7" s="95"/>
      <c r="D7" s="33" t="s">
        <v>370</v>
      </c>
      <c r="E7" s="96" t="s">
        <v>371</v>
      </c>
      <c r="F7" s="52"/>
    </row>
    <row r="8" customFormat="false" ht="45.75" hidden="false" customHeight="true" outlineLevel="0" collapsed="false">
      <c r="A8" s="51"/>
      <c r="B8" s="43" t="n">
        <v>4</v>
      </c>
      <c r="C8" s="95"/>
      <c r="D8" s="33" t="s">
        <v>372</v>
      </c>
      <c r="E8" s="96" t="s">
        <v>373</v>
      </c>
      <c r="F8" s="52"/>
    </row>
    <row r="9" customFormat="false" ht="45.75" hidden="false" customHeight="true" outlineLevel="0" collapsed="false">
      <c r="A9" s="51"/>
      <c r="B9" s="43" t="n">
        <v>5</v>
      </c>
      <c r="C9" s="95"/>
      <c r="D9" s="97" t="s">
        <v>374</v>
      </c>
      <c r="E9" s="96" t="s">
        <v>375</v>
      </c>
      <c r="F9" s="52"/>
    </row>
    <row r="10" customFormat="false" ht="45.75" hidden="false" customHeight="true" outlineLevel="0" collapsed="false">
      <c r="A10" s="51"/>
      <c r="B10" s="43" t="n">
        <v>6</v>
      </c>
      <c r="C10" s="95"/>
      <c r="D10" s="33" t="s">
        <v>376</v>
      </c>
      <c r="E10" s="96" t="s">
        <v>377</v>
      </c>
      <c r="F10" s="52"/>
    </row>
    <row r="11" customFormat="false" ht="45.75" hidden="false" customHeight="true" outlineLevel="0" collapsed="false">
      <c r="A11" s="51"/>
      <c r="B11" s="43" t="n">
        <v>7</v>
      </c>
      <c r="C11" s="95" t="s">
        <v>378</v>
      </c>
      <c r="D11" s="33" t="s">
        <v>379</v>
      </c>
      <c r="E11" s="96" t="s">
        <v>380</v>
      </c>
      <c r="F11" s="52"/>
    </row>
    <row r="12" customFormat="false" ht="45.75" hidden="false" customHeight="true" outlineLevel="0" collapsed="false">
      <c r="A12" s="51"/>
      <c r="B12" s="43" t="n">
        <v>8</v>
      </c>
      <c r="C12" s="95"/>
      <c r="D12" s="33" t="s">
        <v>381</v>
      </c>
      <c r="E12" s="96" t="s">
        <v>382</v>
      </c>
      <c r="F12" s="52"/>
    </row>
    <row r="13" customFormat="false" ht="45.75" hidden="false" customHeight="true" outlineLevel="0" collapsed="false">
      <c r="A13" s="51"/>
      <c r="B13" s="43" t="n">
        <v>9</v>
      </c>
      <c r="C13" s="95" t="s">
        <v>383</v>
      </c>
      <c r="D13" s="33" t="s">
        <v>384</v>
      </c>
      <c r="E13" s="96" t="s">
        <v>385</v>
      </c>
      <c r="F13" s="52"/>
    </row>
    <row r="14" customFormat="false" ht="45.75" hidden="false" customHeight="true" outlineLevel="0" collapsed="false">
      <c r="A14" s="51"/>
      <c r="B14" s="43" t="n">
        <v>10</v>
      </c>
      <c r="C14" s="95"/>
      <c r="D14" s="33" t="s">
        <v>386</v>
      </c>
      <c r="E14" s="96" t="s">
        <v>387</v>
      </c>
      <c r="F14" s="52"/>
    </row>
    <row r="15" customFormat="false" ht="45.75" hidden="false" customHeight="true" outlineLevel="0" collapsed="false">
      <c r="A15" s="51"/>
      <c r="B15" s="43" t="n">
        <v>11</v>
      </c>
      <c r="C15" s="95" t="s">
        <v>388</v>
      </c>
      <c r="D15" s="33" t="s">
        <v>389</v>
      </c>
      <c r="E15" s="96" t="s">
        <v>390</v>
      </c>
      <c r="F15" s="52"/>
    </row>
    <row r="16" customFormat="false" ht="45.75" hidden="false" customHeight="true" outlineLevel="0" collapsed="false">
      <c r="A16" s="51"/>
      <c r="B16" s="43" t="n">
        <v>12</v>
      </c>
      <c r="C16" s="95"/>
      <c r="D16" s="33" t="s">
        <v>391</v>
      </c>
      <c r="E16" s="96" t="s">
        <v>392</v>
      </c>
      <c r="F16" s="30" t="s">
        <v>393</v>
      </c>
    </row>
    <row r="17" customFormat="false" ht="45.75" hidden="false" customHeight="true" outlineLevel="0" collapsed="false">
      <c r="A17" s="51"/>
      <c r="B17" s="43" t="n">
        <v>13</v>
      </c>
      <c r="C17" s="95"/>
      <c r="D17" s="33" t="s">
        <v>394</v>
      </c>
      <c r="E17" s="96" t="s">
        <v>395</v>
      </c>
      <c r="F17" s="30" t="s">
        <v>396</v>
      </c>
    </row>
    <row r="18" customFormat="false" ht="45.75" hidden="false" customHeight="true" outlineLevel="0" collapsed="false">
      <c r="A18" s="51"/>
      <c r="B18" s="43" t="n">
        <v>14</v>
      </c>
      <c r="C18" s="95"/>
      <c r="D18" s="33" t="s">
        <v>397</v>
      </c>
      <c r="E18" s="96" t="s">
        <v>398</v>
      </c>
      <c r="F18" s="52"/>
    </row>
    <row r="19" customFormat="false" ht="45.75" hidden="false" customHeight="true" outlineLevel="0" collapsed="false">
      <c r="A19" s="51"/>
      <c r="B19" s="43" t="n">
        <v>15</v>
      </c>
      <c r="C19" s="95"/>
      <c r="D19" s="97" t="s">
        <v>399</v>
      </c>
      <c r="E19" s="96" t="s">
        <v>400</v>
      </c>
      <c r="F19" s="52"/>
    </row>
    <row r="20" customFormat="false" ht="45.75" hidden="false" customHeight="true" outlineLevel="0" collapsed="false">
      <c r="A20" s="51"/>
      <c r="B20" s="43" t="n">
        <v>16</v>
      </c>
      <c r="C20" s="95"/>
      <c r="D20" s="33" t="s">
        <v>401</v>
      </c>
      <c r="E20" s="96" t="s">
        <v>402</v>
      </c>
      <c r="F20" s="52"/>
    </row>
    <row r="21" customFormat="false" ht="45.75" hidden="false" customHeight="true" outlineLevel="0" collapsed="false">
      <c r="A21" s="51"/>
      <c r="B21" s="43" t="n">
        <v>17</v>
      </c>
      <c r="C21" s="95"/>
      <c r="D21" s="33" t="s">
        <v>403</v>
      </c>
      <c r="E21" s="96" t="s">
        <v>404</v>
      </c>
      <c r="F21" s="30" t="s">
        <v>405</v>
      </c>
    </row>
    <row r="22" customFormat="false" ht="45.75" hidden="false" customHeight="true" outlineLevel="0" collapsed="false">
      <c r="A22" s="51"/>
      <c r="B22" s="43" t="n">
        <v>18</v>
      </c>
      <c r="C22" s="95" t="s">
        <v>406</v>
      </c>
      <c r="D22" s="33" t="s">
        <v>407</v>
      </c>
      <c r="E22" s="96" t="s">
        <v>408</v>
      </c>
      <c r="F22" s="30" t="s">
        <v>409</v>
      </c>
    </row>
    <row r="23" customFormat="false" ht="45.75" hidden="false" customHeight="true" outlineLevel="0" collapsed="false">
      <c r="A23" s="51"/>
      <c r="B23" s="43" t="n">
        <v>19</v>
      </c>
      <c r="C23" s="95"/>
      <c r="D23" s="33" t="s">
        <v>410</v>
      </c>
      <c r="E23" s="96" t="s">
        <v>411</v>
      </c>
      <c r="F23" s="52"/>
    </row>
    <row r="24" customFormat="false" ht="45.75" hidden="false" customHeight="true" outlineLevel="0" collapsed="false">
      <c r="A24" s="51"/>
      <c r="B24" s="43" t="n">
        <v>20</v>
      </c>
      <c r="C24" s="95"/>
      <c r="D24" s="33" t="s">
        <v>412</v>
      </c>
      <c r="E24" s="96" t="s">
        <v>413</v>
      </c>
      <c r="F24" s="52"/>
    </row>
    <row r="25" customFormat="false" ht="45.75" hidden="false" customHeight="true" outlineLevel="0" collapsed="false">
      <c r="A25" s="51"/>
      <c r="B25" s="43" t="n">
        <v>21</v>
      </c>
      <c r="C25" s="95"/>
      <c r="D25" s="33" t="s">
        <v>414</v>
      </c>
      <c r="E25" s="96" t="s">
        <v>415</v>
      </c>
      <c r="F25" s="52"/>
    </row>
    <row r="26" customFormat="false" ht="45.75" hidden="false" customHeight="true" outlineLevel="0" collapsed="false">
      <c r="A26" s="51"/>
      <c r="B26" s="43" t="n">
        <v>22</v>
      </c>
      <c r="C26" s="95"/>
      <c r="D26" s="33" t="s">
        <v>416</v>
      </c>
      <c r="E26" s="96" t="s">
        <v>417</v>
      </c>
      <c r="F26" s="52"/>
    </row>
    <row r="27" customFormat="false" ht="45.75" hidden="false" customHeight="true" outlineLevel="0" collapsed="false">
      <c r="A27" s="51"/>
      <c r="B27" s="43" t="n">
        <v>23</v>
      </c>
      <c r="C27" s="95"/>
      <c r="D27" s="33" t="s">
        <v>418</v>
      </c>
      <c r="E27" s="96" t="s">
        <v>419</v>
      </c>
      <c r="F27" s="30" t="s">
        <v>420</v>
      </c>
    </row>
    <row r="28" customFormat="false" ht="45.75" hidden="false" customHeight="true" outlineLevel="0" collapsed="false">
      <c r="A28" s="51"/>
      <c r="B28" s="43" t="n">
        <v>24</v>
      </c>
      <c r="C28" s="95"/>
      <c r="D28" s="33" t="s">
        <v>421</v>
      </c>
      <c r="E28" s="96" t="s">
        <v>422</v>
      </c>
      <c r="F28" s="52"/>
    </row>
    <row r="29" customFormat="false" ht="45.75" hidden="false" customHeight="true" outlineLevel="0" collapsed="false">
      <c r="A29" s="51"/>
      <c r="B29" s="43" t="n">
        <v>25</v>
      </c>
      <c r="C29" s="95" t="s">
        <v>423</v>
      </c>
      <c r="D29" s="33" t="s">
        <v>424</v>
      </c>
      <c r="E29" s="96" t="s">
        <v>425</v>
      </c>
      <c r="F29" s="30" t="s">
        <v>426</v>
      </c>
    </row>
    <row r="30" customFormat="false" ht="45.75" hidden="false" customHeight="true" outlineLevel="0" collapsed="false">
      <c r="A30" s="51"/>
      <c r="B30" s="43" t="n">
        <v>26</v>
      </c>
      <c r="C30" s="95"/>
      <c r="D30" s="33" t="s">
        <v>427</v>
      </c>
      <c r="E30" s="96" t="s">
        <v>428</v>
      </c>
      <c r="F30" s="52"/>
    </row>
    <row r="31" customFormat="false" ht="45.75" hidden="false" customHeight="true" outlineLevel="0" collapsed="false">
      <c r="A31" s="51"/>
      <c r="B31" s="43" t="n">
        <v>27</v>
      </c>
      <c r="C31" s="95"/>
      <c r="D31" s="33" t="s">
        <v>429</v>
      </c>
      <c r="E31" s="96" t="s">
        <v>430</v>
      </c>
      <c r="F31" s="52"/>
    </row>
    <row r="32" customFormat="false" ht="45.75" hidden="false" customHeight="true" outlineLevel="0" collapsed="false">
      <c r="A32" s="51"/>
      <c r="B32" s="43" t="n">
        <v>28</v>
      </c>
      <c r="C32" s="95"/>
      <c r="D32" s="33" t="s">
        <v>431</v>
      </c>
      <c r="E32" s="96" t="s">
        <v>432</v>
      </c>
      <c r="F32" s="52"/>
    </row>
    <row r="33" customFormat="false" ht="45.75" hidden="false" customHeight="true" outlineLevel="0" collapsed="false">
      <c r="A33" s="51"/>
      <c r="B33" s="43" t="n">
        <v>29</v>
      </c>
      <c r="C33" s="95"/>
      <c r="D33" s="33" t="s">
        <v>433</v>
      </c>
      <c r="E33" s="96" t="s">
        <v>434</v>
      </c>
      <c r="F33" s="52"/>
    </row>
    <row r="34" customFormat="false" ht="45.75" hidden="false" customHeight="true" outlineLevel="0" collapsed="false">
      <c r="A34" s="51"/>
      <c r="B34" s="43" t="n">
        <v>30</v>
      </c>
      <c r="C34" s="95"/>
      <c r="D34" s="33" t="s">
        <v>435</v>
      </c>
      <c r="E34" s="96" t="s">
        <v>436</v>
      </c>
      <c r="F34" s="52"/>
    </row>
    <row r="35" customFormat="false" ht="45.75" hidden="false" customHeight="true" outlineLevel="0" collapsed="false">
      <c r="A35" s="51"/>
      <c r="B35" s="43" t="n">
        <v>31</v>
      </c>
      <c r="C35" s="95"/>
      <c r="D35" s="33" t="s">
        <v>437</v>
      </c>
      <c r="E35" s="96" t="s">
        <v>438</v>
      </c>
      <c r="F35" s="52"/>
    </row>
    <row r="36" customFormat="false" ht="45.75" hidden="false" customHeight="true" outlineLevel="0" collapsed="false">
      <c r="A36" s="51"/>
      <c r="B36" s="43" t="n">
        <v>32</v>
      </c>
      <c r="C36" s="95" t="s">
        <v>439</v>
      </c>
      <c r="D36" s="33" t="s">
        <v>440</v>
      </c>
      <c r="E36" s="96" t="s">
        <v>441</v>
      </c>
      <c r="F36" s="30" t="s">
        <v>442</v>
      </c>
    </row>
    <row r="37" customFormat="false" ht="45.75" hidden="false" customHeight="true" outlineLevel="0" collapsed="false">
      <c r="A37" s="51"/>
      <c r="B37" s="43" t="n">
        <v>33</v>
      </c>
      <c r="C37" s="95"/>
      <c r="D37" s="33" t="s">
        <v>443</v>
      </c>
      <c r="E37" s="96" t="s">
        <v>444</v>
      </c>
      <c r="F37" s="52"/>
    </row>
    <row r="38" customFormat="false" ht="45.75" hidden="false" customHeight="true" outlineLevel="0" collapsed="false">
      <c r="A38" s="51"/>
      <c r="B38" s="43" t="n">
        <v>34</v>
      </c>
      <c r="C38" s="95"/>
      <c r="D38" s="33" t="s">
        <v>445</v>
      </c>
      <c r="E38" s="96" t="s">
        <v>446</v>
      </c>
      <c r="F38" s="52"/>
    </row>
    <row r="39" customFormat="false" ht="45.75" hidden="false" customHeight="true" outlineLevel="0" collapsed="false">
      <c r="A39" s="51"/>
      <c r="B39" s="43" t="n">
        <v>35</v>
      </c>
      <c r="C39" s="95"/>
      <c r="D39" s="33" t="s">
        <v>447</v>
      </c>
      <c r="E39" s="96" t="s">
        <v>448</v>
      </c>
      <c r="F39" s="30" t="s">
        <v>449</v>
      </c>
    </row>
    <row r="40" customFormat="false" ht="45.75" hidden="false" customHeight="true" outlineLevel="0" collapsed="false">
      <c r="A40" s="51"/>
      <c r="B40" s="43" t="n">
        <v>36</v>
      </c>
      <c r="C40" s="95"/>
      <c r="D40" s="33" t="s">
        <v>450</v>
      </c>
      <c r="E40" s="96" t="s">
        <v>451</v>
      </c>
      <c r="F40" s="52"/>
    </row>
    <row r="41" customFormat="false" ht="45.75" hidden="false" customHeight="true" outlineLevel="0" collapsed="false">
      <c r="A41" s="51"/>
      <c r="B41" s="43" t="n">
        <v>37</v>
      </c>
      <c r="C41" s="95"/>
      <c r="D41" s="33" t="s">
        <v>452</v>
      </c>
      <c r="E41" s="96" t="s">
        <v>453</v>
      </c>
      <c r="F41" s="52"/>
    </row>
    <row r="42" customFormat="false" ht="45.75" hidden="false" customHeight="true" outlineLevel="0" collapsed="false">
      <c r="A42" s="51"/>
      <c r="B42" s="43" t="n">
        <v>38</v>
      </c>
      <c r="C42" s="95" t="s">
        <v>454</v>
      </c>
      <c r="D42" s="33" t="s">
        <v>455</v>
      </c>
      <c r="E42" s="96" t="s">
        <v>456</v>
      </c>
      <c r="F42" s="52"/>
    </row>
    <row r="43" customFormat="false" ht="45.75" hidden="false" customHeight="true" outlineLevel="0" collapsed="false">
      <c r="A43" s="51"/>
      <c r="B43" s="43" t="n">
        <v>39</v>
      </c>
      <c r="C43" s="95"/>
      <c r="D43" s="33" t="s">
        <v>457</v>
      </c>
      <c r="E43" s="96" t="s">
        <v>458</v>
      </c>
      <c r="F43" s="52"/>
    </row>
    <row r="44" customFormat="false" ht="45.75" hidden="false" customHeight="true" outlineLevel="0" collapsed="false">
      <c r="A44" s="51"/>
      <c r="B44" s="43" t="n">
        <v>40</v>
      </c>
      <c r="C44" s="95"/>
      <c r="D44" s="33" t="s">
        <v>459</v>
      </c>
      <c r="E44" s="96" t="s">
        <v>460</v>
      </c>
      <c r="F44" s="52"/>
    </row>
    <row r="45" customFormat="false" ht="45.75" hidden="false" customHeight="true" outlineLevel="0" collapsed="false">
      <c r="A45" s="51"/>
      <c r="B45" s="43" t="n">
        <v>41</v>
      </c>
      <c r="C45" s="95"/>
      <c r="D45" s="33" t="s">
        <v>461</v>
      </c>
      <c r="E45" s="96" t="s">
        <v>462</v>
      </c>
      <c r="F45" s="52"/>
    </row>
    <row r="46" customFormat="false" ht="45.75" hidden="false" customHeight="true" outlineLevel="0" collapsed="false">
      <c r="A46" s="51"/>
      <c r="B46" s="43" t="n">
        <v>42</v>
      </c>
      <c r="C46" s="95"/>
      <c r="D46" s="33" t="s">
        <v>463</v>
      </c>
      <c r="E46" s="96" t="s">
        <v>464</v>
      </c>
      <c r="F46" s="52"/>
    </row>
    <row r="47" customFormat="false" ht="45.75" hidden="false" customHeight="true" outlineLevel="0" collapsed="false">
      <c r="A47" s="51"/>
      <c r="B47" s="43" t="n">
        <v>43</v>
      </c>
      <c r="C47" s="95"/>
      <c r="D47" s="33" t="s">
        <v>465</v>
      </c>
      <c r="E47" s="96" t="s">
        <v>466</v>
      </c>
      <c r="F47" s="52"/>
    </row>
    <row r="48" customFormat="false" ht="45.75" hidden="false" customHeight="true" outlineLevel="0" collapsed="false">
      <c r="A48" s="51"/>
      <c r="B48" s="43" t="n">
        <v>44</v>
      </c>
      <c r="C48" s="95" t="s">
        <v>467</v>
      </c>
      <c r="D48" s="33" t="s">
        <v>468</v>
      </c>
      <c r="E48" s="96" t="s">
        <v>469</v>
      </c>
      <c r="F48" s="52"/>
    </row>
    <row r="49" customFormat="false" ht="45.75" hidden="false" customHeight="true" outlineLevel="0" collapsed="false">
      <c r="A49" s="51"/>
      <c r="B49" s="43" t="n">
        <v>45</v>
      </c>
      <c r="C49" s="95"/>
      <c r="D49" s="33" t="s">
        <v>470</v>
      </c>
      <c r="E49" s="96" t="s">
        <v>471</v>
      </c>
      <c r="F49" s="52"/>
    </row>
    <row r="50" customFormat="false" ht="45.75" hidden="false" customHeight="true" outlineLevel="0" collapsed="false">
      <c r="A50" s="51"/>
      <c r="B50" s="43" t="n">
        <v>46</v>
      </c>
      <c r="C50" s="95"/>
      <c r="D50" s="33" t="s">
        <v>472</v>
      </c>
      <c r="E50" s="96" t="s">
        <v>473</v>
      </c>
      <c r="F50" s="52"/>
    </row>
    <row r="51" customFormat="false" ht="45.75" hidden="false" customHeight="true" outlineLevel="0" collapsed="false">
      <c r="A51" s="51"/>
      <c r="B51" s="43" t="n">
        <v>47</v>
      </c>
      <c r="C51" s="95"/>
      <c r="D51" s="33" t="s">
        <v>474</v>
      </c>
      <c r="E51" s="96" t="s">
        <v>475</v>
      </c>
      <c r="F51" s="52"/>
    </row>
    <row r="52" customFormat="false" ht="45.75" hidden="false" customHeight="true" outlineLevel="0" collapsed="false">
      <c r="A52" s="51"/>
      <c r="B52" s="43" t="n">
        <v>48</v>
      </c>
      <c r="C52" s="95"/>
      <c r="D52" s="33" t="s">
        <v>476</v>
      </c>
      <c r="E52" s="96" t="s">
        <v>477</v>
      </c>
      <c r="F52" s="52"/>
    </row>
    <row r="53" customFormat="false" ht="45.75" hidden="false" customHeight="true" outlineLevel="0" collapsed="false">
      <c r="A53" s="51"/>
      <c r="B53" s="43" t="n">
        <v>49</v>
      </c>
      <c r="C53" s="95"/>
      <c r="D53" s="33" t="s">
        <v>478</v>
      </c>
      <c r="E53" s="96" t="s">
        <v>479</v>
      </c>
      <c r="F53" s="52"/>
    </row>
    <row r="54" customFormat="false" ht="45.75" hidden="false" customHeight="true" outlineLevel="0" collapsed="false">
      <c r="A54" s="51"/>
      <c r="B54" s="43" t="n">
        <v>50</v>
      </c>
      <c r="C54" s="95"/>
      <c r="D54" s="33" t="s">
        <v>480</v>
      </c>
      <c r="E54" s="96" t="s">
        <v>481</v>
      </c>
      <c r="F54" s="52"/>
    </row>
    <row r="55" customFormat="false" ht="45.75" hidden="false" customHeight="true" outlineLevel="0" collapsed="false">
      <c r="A55" s="51"/>
      <c r="B55" s="43" t="n">
        <v>51</v>
      </c>
      <c r="C55" s="95"/>
      <c r="D55" s="33" t="s">
        <v>482</v>
      </c>
      <c r="E55" s="96" t="s">
        <v>483</v>
      </c>
      <c r="F55" s="52"/>
    </row>
    <row r="56" customFormat="false" ht="45.75" hidden="false" customHeight="true" outlineLevel="0" collapsed="false">
      <c r="A56" s="51"/>
      <c r="B56" s="43" t="n">
        <v>52</v>
      </c>
      <c r="C56" s="95" t="s">
        <v>484</v>
      </c>
      <c r="D56" s="33" t="s">
        <v>106</v>
      </c>
      <c r="E56" s="96" t="s">
        <v>485</v>
      </c>
      <c r="F56" s="30" t="s">
        <v>486</v>
      </c>
    </row>
    <row r="57" customFormat="false" ht="45.75" hidden="false" customHeight="true" outlineLevel="0" collapsed="false">
      <c r="A57" s="51"/>
      <c r="B57" s="43" t="n">
        <v>53</v>
      </c>
      <c r="C57" s="95"/>
      <c r="D57" s="33" t="s">
        <v>487</v>
      </c>
      <c r="E57" s="96" t="s">
        <v>488</v>
      </c>
      <c r="F57" s="52"/>
    </row>
    <row r="58" customFormat="false" ht="45.75" hidden="false" customHeight="true" outlineLevel="0" collapsed="false">
      <c r="A58" s="51"/>
      <c r="B58" s="43" t="n">
        <v>54</v>
      </c>
      <c r="C58" s="95"/>
      <c r="D58" s="97" t="s">
        <v>489</v>
      </c>
      <c r="E58" s="96" t="s">
        <v>490</v>
      </c>
      <c r="F58" s="52"/>
    </row>
    <row r="60" customFormat="false" ht="15" hidden="false" customHeight="false" outlineLevel="0" collapsed="false">
      <c r="A60" s="28" t="s">
        <v>491</v>
      </c>
    </row>
  </sheetData>
  <sheetProtection sheet="true" formatCells="false" formatColumns="false" formatRows="false" insertRows="false" deleteRows="false" sort="false" autoFilter="false"/>
  <mergeCells count="10">
    <mergeCell ref="C5:C10"/>
    <mergeCell ref="C11:C12"/>
    <mergeCell ref="C13:C14"/>
    <mergeCell ref="C15:C21"/>
    <mergeCell ref="C22:C28"/>
    <mergeCell ref="C29:C35"/>
    <mergeCell ref="C36:C41"/>
    <mergeCell ref="C42:C47"/>
    <mergeCell ref="C48:C55"/>
    <mergeCell ref="C56:C58"/>
  </mergeCells>
  <conditionalFormatting sqref="A5:F58">
    <cfRule type="expression" priority="2" aboveAverage="0" equalAverage="0" bottom="0" percent="0" rank="0" text="" dxfId="10">
      <formula>$A5="✓"</formula>
    </cfRule>
  </conditionalFormatting>
  <conditionalFormatting sqref="A5:A58">
    <cfRule type="expression" priority="3" aboveAverage="0" equalAverage="0" bottom="0" percent="0" rank="0" text="" dxfId="11">
      <formula>$A5="✓"</formula>
    </cfRule>
  </conditionalFormatting>
  <dataValidations count="1">
    <dataValidation allowBlank="true" errorStyle="stop" operator="between" showDropDown="false" showErrorMessage="false" showInputMessage="false" sqref="A5:A58"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7.64453125" defaultRowHeight="15" customHeight="false" zeroHeight="false" outlineLevelRow="0" outlineLevelCol="0"/>
  <cols>
    <col collapsed="false" customWidth="true" hidden="false" outlineLevel="0" max="1" min="1" style="0" width="4.4"/>
    <col collapsed="false" customWidth="true" hidden="false" outlineLevel="0" max="2" min="2" style="0" width="15.86"/>
    <col collapsed="false" customWidth="true" hidden="false" outlineLevel="0" max="3" min="3" style="0" width="45.81"/>
    <col collapsed="false" customWidth="true" hidden="false" outlineLevel="0" max="4" min="4" style="0" width="12.33"/>
    <col collapsed="false" customWidth="true" hidden="false" outlineLevel="0" max="5" min="5" style="0" width="8.81"/>
    <col collapsed="false" customWidth="true" hidden="false" outlineLevel="0" max="6" min="6" style="0" width="29.95"/>
    <col collapsed="false" customWidth="true" hidden="false" outlineLevel="0" max="7" min="7" style="0" width="26.43"/>
  </cols>
  <sheetData>
    <row r="1" customFormat="false" ht="17.15" hidden="false" customHeight="false" outlineLevel="0" collapsed="false">
      <c r="A1" s="1" t="s">
        <v>492</v>
      </c>
    </row>
    <row r="2" customFormat="false" ht="15" hidden="false" customHeight="false" outlineLevel="0" collapsed="false">
      <c r="A2" s="2" t="str">
        <f aca="false">"判定の進み具合: 対象 "&amp;COUNTIF($E$4:$E$32,"対象")&amp;" 件（うち明細未反映 "&amp;COUNTIFS($E$4:$E$32,"対象",$F$4:$F$32,"")&amp;" 件）／ 対象外 "&amp;COUNTIF($E$4:$E$32,"対象外")&amp;" 件 ／ 要確認 "&amp;COUNTIF($E$4:$E$32,"要確認")&amp;" 件 ／ 未判定 "&amp;COUNTBLANK($E$4:$E$32)&amp;" 件　※ 最低 C(セキュリティ)・D(運用)・G1(ストア審査) は必ず判断（抜けやすい筆頭）"</f>
        <v>判定の進み具合: 対象 0 件（うち明細未反映 0 件）／ 対象外 0 件 ／ 要確認 0 件 ／ 未判定 29 件　※ 最低 C(セキュリティ)・D(運用)・G1(ストア審査) は必ず判断（抜けやすい筆頭）</v>
      </c>
    </row>
    <row r="3" customFormat="false" ht="15" hidden="false" customHeight="false" outlineLevel="0" collapsed="false">
      <c r="A3" s="94" t="s">
        <v>362</v>
      </c>
      <c r="B3" s="25" t="s">
        <v>153</v>
      </c>
      <c r="C3" s="25" t="s">
        <v>493</v>
      </c>
      <c r="D3" s="25" t="s">
        <v>494</v>
      </c>
      <c r="E3" s="25" t="s">
        <v>495</v>
      </c>
      <c r="F3" s="25" t="s">
        <v>496</v>
      </c>
      <c r="G3" s="25" t="s">
        <v>497</v>
      </c>
    </row>
    <row r="4" customFormat="false" ht="15" hidden="false" customHeight="false" outlineLevel="0" collapsed="false">
      <c r="A4" s="98" t="s">
        <v>498</v>
      </c>
      <c r="B4" s="99" t="s">
        <v>499</v>
      </c>
      <c r="C4" s="33" t="s">
        <v>500</v>
      </c>
      <c r="D4" s="100" t="s">
        <v>251</v>
      </c>
      <c r="E4" s="100"/>
      <c r="F4" s="30"/>
      <c r="G4" s="101"/>
    </row>
    <row r="5" customFormat="false" ht="15" hidden="false" customHeight="false" outlineLevel="0" collapsed="false">
      <c r="A5" s="98" t="s">
        <v>501</v>
      </c>
      <c r="B5" s="99" t="s">
        <v>499</v>
      </c>
      <c r="C5" s="33" t="s">
        <v>502</v>
      </c>
      <c r="D5" s="100" t="s">
        <v>503</v>
      </c>
      <c r="E5" s="100"/>
      <c r="F5" s="30"/>
      <c r="G5" s="101"/>
    </row>
    <row r="6" customFormat="false" ht="15" hidden="false" customHeight="false" outlineLevel="0" collapsed="false">
      <c r="A6" s="98" t="s">
        <v>504</v>
      </c>
      <c r="B6" s="99" t="s">
        <v>499</v>
      </c>
      <c r="C6" s="33" t="s">
        <v>505</v>
      </c>
      <c r="D6" s="77" t="s">
        <v>289</v>
      </c>
      <c r="E6" s="100"/>
      <c r="F6" s="30"/>
      <c r="G6" s="101"/>
    </row>
    <row r="7" customFormat="false" ht="15" hidden="false" customHeight="false" outlineLevel="0" collapsed="false">
      <c r="A7" s="98" t="s">
        <v>506</v>
      </c>
      <c r="B7" s="99" t="s">
        <v>499</v>
      </c>
      <c r="C7" s="33" t="s">
        <v>507</v>
      </c>
      <c r="D7" s="100" t="s">
        <v>503</v>
      </c>
      <c r="E7" s="100"/>
      <c r="F7" s="30"/>
      <c r="G7" s="101"/>
    </row>
    <row r="8" customFormat="false" ht="15" hidden="false" customHeight="false" outlineLevel="0" collapsed="false">
      <c r="A8" s="98" t="s">
        <v>508</v>
      </c>
      <c r="B8" s="99" t="s">
        <v>509</v>
      </c>
      <c r="C8" s="33" t="s">
        <v>510</v>
      </c>
      <c r="D8" s="100" t="s">
        <v>511</v>
      </c>
      <c r="E8" s="100"/>
      <c r="F8" s="30"/>
      <c r="G8" s="101"/>
    </row>
    <row r="9" customFormat="false" ht="15" hidden="false" customHeight="false" outlineLevel="0" collapsed="false">
      <c r="A9" s="98" t="s">
        <v>512</v>
      </c>
      <c r="B9" s="99" t="s">
        <v>509</v>
      </c>
      <c r="C9" s="33" t="s">
        <v>513</v>
      </c>
      <c r="D9" s="100" t="s">
        <v>511</v>
      </c>
      <c r="E9" s="100"/>
      <c r="F9" s="30"/>
      <c r="G9" s="101"/>
    </row>
    <row r="10" customFormat="false" ht="15" hidden="false" customHeight="false" outlineLevel="0" collapsed="false">
      <c r="A10" s="98" t="s">
        <v>514</v>
      </c>
      <c r="B10" s="99" t="s">
        <v>509</v>
      </c>
      <c r="C10" s="33" t="s">
        <v>515</v>
      </c>
      <c r="D10" s="77" t="s">
        <v>289</v>
      </c>
      <c r="E10" s="100"/>
      <c r="F10" s="30"/>
      <c r="G10" s="101"/>
    </row>
    <row r="11" customFormat="false" ht="15" hidden="false" customHeight="false" outlineLevel="0" collapsed="false">
      <c r="A11" s="98" t="s">
        <v>516</v>
      </c>
      <c r="B11" s="99" t="s">
        <v>517</v>
      </c>
      <c r="C11" s="33" t="s">
        <v>518</v>
      </c>
      <c r="D11" s="100" t="s">
        <v>251</v>
      </c>
      <c r="E11" s="100"/>
      <c r="F11" s="30"/>
      <c r="G11" s="101"/>
    </row>
    <row r="12" customFormat="false" ht="15" hidden="false" customHeight="false" outlineLevel="0" collapsed="false">
      <c r="A12" s="98" t="s">
        <v>519</v>
      </c>
      <c r="B12" s="99" t="s">
        <v>517</v>
      </c>
      <c r="C12" s="33" t="s">
        <v>520</v>
      </c>
      <c r="D12" s="77" t="s">
        <v>289</v>
      </c>
      <c r="E12" s="100"/>
      <c r="F12" s="30"/>
      <c r="G12" s="101"/>
    </row>
    <row r="13" customFormat="false" ht="15" hidden="false" customHeight="false" outlineLevel="0" collapsed="false">
      <c r="A13" s="98" t="s">
        <v>521</v>
      </c>
      <c r="B13" s="99" t="s">
        <v>517</v>
      </c>
      <c r="C13" s="33" t="s">
        <v>522</v>
      </c>
      <c r="D13" s="77" t="s">
        <v>289</v>
      </c>
      <c r="E13" s="100"/>
      <c r="F13" s="30"/>
      <c r="G13" s="101"/>
    </row>
    <row r="14" customFormat="false" ht="15" hidden="false" customHeight="false" outlineLevel="0" collapsed="false">
      <c r="A14" s="98" t="s">
        <v>523</v>
      </c>
      <c r="B14" s="99" t="s">
        <v>517</v>
      </c>
      <c r="C14" s="33" t="s">
        <v>524</v>
      </c>
      <c r="D14" s="100" t="s">
        <v>251</v>
      </c>
      <c r="E14" s="100"/>
      <c r="F14" s="30"/>
      <c r="G14" s="101"/>
    </row>
    <row r="15" customFormat="false" ht="15" hidden="false" customHeight="false" outlineLevel="0" collapsed="false">
      <c r="A15" s="98" t="s">
        <v>525</v>
      </c>
      <c r="B15" s="99" t="s">
        <v>517</v>
      </c>
      <c r="C15" s="33" t="s">
        <v>526</v>
      </c>
      <c r="D15" s="100" t="s">
        <v>511</v>
      </c>
      <c r="E15" s="100"/>
      <c r="F15" s="30"/>
      <c r="G15" s="101"/>
    </row>
    <row r="16" customFormat="false" ht="15" hidden="false" customHeight="false" outlineLevel="0" collapsed="false">
      <c r="A16" s="98" t="s">
        <v>527</v>
      </c>
      <c r="B16" s="99" t="s">
        <v>528</v>
      </c>
      <c r="C16" s="33" t="s">
        <v>529</v>
      </c>
      <c r="D16" s="100" t="s">
        <v>511</v>
      </c>
      <c r="E16" s="100"/>
      <c r="F16" s="30"/>
      <c r="G16" s="101"/>
    </row>
    <row r="17" customFormat="false" ht="15" hidden="false" customHeight="false" outlineLevel="0" collapsed="false">
      <c r="A17" s="98" t="s">
        <v>530</v>
      </c>
      <c r="B17" s="99" t="s">
        <v>528</v>
      </c>
      <c r="C17" s="33" t="s">
        <v>531</v>
      </c>
      <c r="D17" s="100" t="s">
        <v>251</v>
      </c>
      <c r="E17" s="100"/>
      <c r="F17" s="30"/>
      <c r="G17" s="101"/>
    </row>
    <row r="18" customFormat="false" ht="15" hidden="false" customHeight="false" outlineLevel="0" collapsed="false">
      <c r="A18" s="98" t="s">
        <v>532</v>
      </c>
      <c r="B18" s="99" t="s">
        <v>528</v>
      </c>
      <c r="C18" s="33" t="s">
        <v>533</v>
      </c>
      <c r="D18" s="100" t="s">
        <v>251</v>
      </c>
      <c r="E18" s="100"/>
      <c r="F18" s="30"/>
      <c r="G18" s="101"/>
    </row>
    <row r="19" customFormat="false" ht="15" hidden="false" customHeight="false" outlineLevel="0" collapsed="false">
      <c r="A19" s="98" t="s">
        <v>534</v>
      </c>
      <c r="B19" s="99" t="s">
        <v>528</v>
      </c>
      <c r="C19" s="33" t="s">
        <v>535</v>
      </c>
      <c r="D19" s="100" t="s">
        <v>251</v>
      </c>
      <c r="E19" s="100"/>
      <c r="F19" s="30"/>
      <c r="G19" s="101"/>
    </row>
    <row r="20" customFormat="false" ht="15" hidden="false" customHeight="false" outlineLevel="0" collapsed="false">
      <c r="A20" s="98" t="s">
        <v>536</v>
      </c>
      <c r="B20" s="99" t="s">
        <v>537</v>
      </c>
      <c r="C20" s="33" t="s">
        <v>538</v>
      </c>
      <c r="D20" s="77" t="s">
        <v>289</v>
      </c>
      <c r="E20" s="100"/>
      <c r="F20" s="30"/>
      <c r="G20" s="101"/>
    </row>
    <row r="21" customFormat="false" ht="15" hidden="false" customHeight="false" outlineLevel="0" collapsed="false">
      <c r="A21" s="98" t="s">
        <v>539</v>
      </c>
      <c r="B21" s="99" t="s">
        <v>537</v>
      </c>
      <c r="C21" s="33" t="s">
        <v>540</v>
      </c>
      <c r="D21" s="100" t="s">
        <v>541</v>
      </c>
      <c r="E21" s="100"/>
      <c r="F21" s="30"/>
      <c r="G21" s="101"/>
    </row>
    <row r="22" customFormat="false" ht="15" hidden="false" customHeight="false" outlineLevel="0" collapsed="false">
      <c r="A22" s="98" t="s">
        <v>542</v>
      </c>
      <c r="B22" s="99" t="s">
        <v>537</v>
      </c>
      <c r="C22" s="33" t="s">
        <v>543</v>
      </c>
      <c r="D22" s="77" t="s">
        <v>289</v>
      </c>
      <c r="E22" s="100"/>
      <c r="F22" s="30"/>
      <c r="G22" s="101"/>
    </row>
    <row r="23" customFormat="false" ht="15" hidden="false" customHeight="false" outlineLevel="0" collapsed="false">
      <c r="A23" s="98" t="s">
        <v>544</v>
      </c>
      <c r="B23" s="99" t="s">
        <v>537</v>
      </c>
      <c r="C23" s="33" t="s">
        <v>545</v>
      </c>
      <c r="D23" s="100" t="s">
        <v>251</v>
      </c>
      <c r="E23" s="100"/>
      <c r="F23" s="30"/>
      <c r="G23" s="101"/>
    </row>
    <row r="24" customFormat="false" ht="15" hidden="false" customHeight="false" outlineLevel="0" collapsed="false">
      <c r="A24" s="98" t="s">
        <v>546</v>
      </c>
      <c r="B24" s="99" t="s">
        <v>547</v>
      </c>
      <c r="C24" s="33" t="s">
        <v>548</v>
      </c>
      <c r="D24" s="100" t="s">
        <v>249</v>
      </c>
      <c r="E24" s="100"/>
      <c r="F24" s="30"/>
      <c r="G24" s="101"/>
    </row>
    <row r="25" customFormat="false" ht="15" hidden="false" customHeight="false" outlineLevel="0" collapsed="false">
      <c r="A25" s="98" t="s">
        <v>549</v>
      </c>
      <c r="B25" s="99" t="s">
        <v>547</v>
      </c>
      <c r="C25" s="33" t="s">
        <v>550</v>
      </c>
      <c r="D25" s="100" t="s">
        <v>249</v>
      </c>
      <c r="E25" s="100"/>
      <c r="F25" s="30"/>
      <c r="G25" s="101"/>
    </row>
    <row r="26" customFormat="false" ht="15" hidden="false" customHeight="false" outlineLevel="0" collapsed="false">
      <c r="A26" s="98" t="s">
        <v>551</v>
      </c>
      <c r="B26" s="99" t="s">
        <v>547</v>
      </c>
      <c r="C26" s="33" t="s">
        <v>552</v>
      </c>
      <c r="D26" s="77" t="s">
        <v>289</v>
      </c>
      <c r="E26" s="100"/>
      <c r="F26" s="30"/>
      <c r="G26" s="101"/>
    </row>
    <row r="27" customFormat="false" ht="15" hidden="false" customHeight="false" outlineLevel="0" collapsed="false">
      <c r="A27" s="98" t="s">
        <v>553</v>
      </c>
      <c r="B27" s="99" t="s">
        <v>554</v>
      </c>
      <c r="C27" s="97" t="s">
        <v>555</v>
      </c>
      <c r="D27" s="100" t="s">
        <v>100</v>
      </c>
      <c r="E27" s="100"/>
      <c r="F27" s="30"/>
      <c r="G27" s="101"/>
    </row>
    <row r="28" customFormat="false" ht="15" hidden="false" customHeight="false" outlineLevel="0" collapsed="false">
      <c r="A28" s="98" t="s">
        <v>556</v>
      </c>
      <c r="B28" s="99" t="s">
        <v>554</v>
      </c>
      <c r="C28" s="33" t="s">
        <v>557</v>
      </c>
      <c r="D28" s="100" t="s">
        <v>251</v>
      </c>
      <c r="E28" s="100"/>
      <c r="F28" s="30"/>
      <c r="G28" s="101"/>
    </row>
    <row r="29" customFormat="false" ht="15" hidden="false" customHeight="false" outlineLevel="0" collapsed="false">
      <c r="A29" s="98" t="s">
        <v>558</v>
      </c>
      <c r="B29" s="99" t="s">
        <v>554</v>
      </c>
      <c r="C29" s="33" t="s">
        <v>559</v>
      </c>
      <c r="D29" s="100" t="s">
        <v>251</v>
      </c>
      <c r="E29" s="100"/>
      <c r="F29" s="30"/>
      <c r="G29" s="101"/>
    </row>
    <row r="30" customFormat="false" ht="15" hidden="false" customHeight="false" outlineLevel="0" collapsed="false">
      <c r="A30" s="98" t="s">
        <v>560</v>
      </c>
      <c r="B30" s="99" t="s">
        <v>554</v>
      </c>
      <c r="C30" s="33" t="s">
        <v>561</v>
      </c>
      <c r="D30" s="100" t="s">
        <v>541</v>
      </c>
      <c r="E30" s="100"/>
      <c r="F30" s="30"/>
      <c r="G30" s="101"/>
    </row>
    <row r="31" customFormat="false" ht="15" hidden="false" customHeight="false" outlineLevel="0" collapsed="false">
      <c r="A31" s="98" t="s">
        <v>562</v>
      </c>
      <c r="B31" s="99" t="s">
        <v>563</v>
      </c>
      <c r="C31" s="33" t="s">
        <v>564</v>
      </c>
      <c r="D31" s="100" t="s">
        <v>251</v>
      </c>
      <c r="E31" s="100"/>
      <c r="F31" s="30"/>
      <c r="G31" s="101"/>
    </row>
    <row r="32" customFormat="false" ht="15" hidden="false" customHeight="false" outlineLevel="0" collapsed="false">
      <c r="A32" s="98" t="s">
        <v>565</v>
      </c>
      <c r="B32" s="99" t="s">
        <v>563</v>
      </c>
      <c r="C32" s="97" t="s">
        <v>566</v>
      </c>
      <c r="D32" s="100" t="s">
        <v>567</v>
      </c>
      <c r="E32" s="100"/>
      <c r="F32" s="30"/>
      <c r="G32" s="101"/>
    </row>
    <row r="34" customFormat="false" ht="15" hidden="false" customHeight="false" outlineLevel="0" collapsed="false">
      <c r="A34" s="28" t="s">
        <v>568</v>
      </c>
    </row>
  </sheetData>
  <sheetProtection sheet="true" formatCells="false" formatColumns="false" formatRows="false" insertRows="false" deleteRows="false" sort="false" autoFilter="false"/>
  <conditionalFormatting sqref="A4:G32">
    <cfRule type="expression" priority="2" aboveAverage="0" equalAverage="0" bottom="0" percent="0" rank="0" text="" dxfId="12">
      <formula>AND($E4="対象",$F4="")</formula>
    </cfRule>
  </conditionalFormatting>
  <conditionalFormatting sqref="E4:E32">
    <cfRule type="expression" priority="3" aboveAverage="0" equalAverage="0" bottom="0" percent="0" rank="0" text="" dxfId="4">
      <formula>$E4="要確認"</formula>
    </cfRule>
  </conditionalFormatting>
  <dataValidations count="2">
    <dataValidation allowBlank="true" errorStyle="stop" operator="between" showDropDown="false" showErrorMessage="false" showInputMessage="false" sqref="D4:D32" type="list">
      <formula1>"アプリ,Web・フロント,API・サーバ,インフラ,管理画面,外部連携,共通,アプリ/Web,サーバ・インフラ"</formula1>
      <formula2>0</formula2>
    </dataValidation>
    <dataValidation allowBlank="true" errorStyle="stop" operator="between" showDropDown="false" showErrorMessage="false" showInputMessage="false" sqref="E4:E32" type="list">
      <formula1>"対象,対象外,要確認"</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2026-07-07T01:55:10Z</dcterms:created>
  <dc:creator>openpyxl</dc:creator>
  <dc:description/>
  <dc:language>ja-JP</dc:language>
  <cp:lastModifiedBy/>
  <dcterms:modified xsi:type="dcterms:W3CDTF">2026-07-07T01:55:10Z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